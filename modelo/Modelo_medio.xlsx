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ictor.morbach\Downloads\"/>
    </mc:Choice>
  </mc:AlternateContent>
  <xr:revisionPtr revIDLastSave="0" documentId="13_ncr:1_{E4F6203F-2A52-45A0-9782-D1C3904F5B8D}" xr6:coauthVersionLast="47" xr6:coauthVersionMax="47" xr10:uidLastSave="{00000000-0000-0000-0000-000000000000}"/>
  <bookViews>
    <workbookView xWindow="20370" yWindow="-120" windowWidth="29040" windowHeight="15720" activeTab="1" xr2:uid="{F954AC55-E422-4DF6-A275-DA1D00F5F386}"/>
  </bookViews>
  <sheets>
    <sheet name="PROTOCOLO" sheetId="1" r:id="rId1"/>
    <sheet name="BOLETIM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" l="1"/>
  <c r="A39" i="2"/>
  <c r="L28" i="2"/>
  <c r="M28" i="2" s="1"/>
  <c r="K28" i="2"/>
  <c r="J28" i="2"/>
  <c r="G28" i="2"/>
  <c r="L27" i="2"/>
  <c r="K27" i="2"/>
  <c r="M27" i="2" s="1"/>
  <c r="J27" i="2"/>
  <c r="G27" i="2"/>
  <c r="L26" i="2"/>
  <c r="M26" i="2" s="1"/>
  <c r="K26" i="2"/>
  <c r="J26" i="2"/>
  <c r="G26" i="2"/>
  <c r="L25" i="2"/>
  <c r="M25" i="2" s="1"/>
  <c r="K25" i="2"/>
  <c r="J25" i="2"/>
  <c r="G25" i="2"/>
  <c r="M24" i="2"/>
  <c r="L24" i="2"/>
  <c r="K24" i="2"/>
  <c r="J24" i="2"/>
  <c r="G24" i="2"/>
  <c r="L23" i="2"/>
  <c r="K23" i="2"/>
  <c r="M23" i="2" s="1"/>
  <c r="J23" i="2"/>
  <c r="G23" i="2"/>
  <c r="M22" i="2"/>
  <c r="L22" i="2"/>
  <c r="K22" i="2"/>
  <c r="J22" i="2"/>
  <c r="G22" i="2"/>
  <c r="L21" i="2"/>
  <c r="M21" i="2" s="1"/>
  <c r="K21" i="2"/>
  <c r="J21" i="2"/>
  <c r="G21" i="2"/>
  <c r="L20" i="2"/>
  <c r="M20" i="2" s="1"/>
  <c r="K20" i="2"/>
  <c r="J20" i="2"/>
  <c r="G20" i="2"/>
  <c r="M19" i="2"/>
  <c r="L19" i="2"/>
  <c r="K19" i="2"/>
  <c r="J19" i="2"/>
  <c r="G19" i="2"/>
  <c r="L18" i="2"/>
  <c r="M18" i="2" s="1"/>
  <c r="K18" i="2"/>
  <c r="J18" i="2"/>
  <c r="G18" i="2"/>
  <c r="M17" i="2"/>
  <c r="L17" i="2"/>
  <c r="K17" i="2"/>
  <c r="J17" i="2"/>
  <c r="G17" i="2"/>
  <c r="L16" i="2"/>
  <c r="M16" i="2" s="1"/>
  <c r="K16" i="2"/>
  <c r="J16" i="2"/>
  <c r="G16" i="2"/>
  <c r="L15" i="2"/>
  <c r="K15" i="2"/>
  <c r="M15" i="2" s="1"/>
  <c r="J15" i="2"/>
  <c r="G15" i="2"/>
  <c r="M14" i="2"/>
  <c r="L14" i="2"/>
  <c r="K14" i="2"/>
  <c r="J14" i="2"/>
  <c r="G14" i="2"/>
  <c r="L13" i="2"/>
  <c r="M13" i="2" s="1"/>
  <c r="K13" i="2"/>
  <c r="J13" i="2"/>
  <c r="G13" i="2"/>
  <c r="L12" i="2"/>
  <c r="M12" i="2" s="1"/>
  <c r="K12" i="2"/>
  <c r="J12" i="2"/>
  <c r="G12" i="2"/>
  <c r="M11" i="2"/>
  <c r="L11" i="2"/>
  <c r="K11" i="2"/>
  <c r="J11" i="2"/>
  <c r="G11" i="2"/>
  <c r="L10" i="2"/>
  <c r="M10" i="2" s="1"/>
  <c r="K10" i="2"/>
  <c r="J10" i="2"/>
  <c r="G10" i="2"/>
  <c r="M9" i="2"/>
  <c r="L9" i="2"/>
  <c r="K9" i="2"/>
  <c r="J9" i="2"/>
  <c r="G9" i="2"/>
  <c r="L8" i="2"/>
  <c r="J7" i="2"/>
  <c r="H7" i="2" s="1"/>
  <c r="K7" i="2" s="1"/>
  <c r="I7" i="2"/>
  <c r="L7" i="2" s="1"/>
  <c r="L29" i="2" s="1"/>
  <c r="L31" i="2" s="1"/>
  <c r="E7" i="2"/>
  <c r="G7" i="2" s="1"/>
  <c r="G29" i="2" s="1"/>
  <c r="E4" i="2"/>
  <c r="M2" i="2"/>
  <c r="H57" i="1"/>
  <c r="H63" i="1" s="1"/>
  <c r="H51" i="1"/>
  <c r="F51" i="1"/>
  <c r="E51" i="1"/>
  <c r="G51" i="1" s="1"/>
  <c r="H46" i="1"/>
  <c r="H28" i="1"/>
  <c r="H25" i="1"/>
  <c r="H23" i="1"/>
  <c r="H20" i="1"/>
  <c r="H59" i="1" s="1"/>
  <c r="C15" i="1"/>
  <c r="K29" i="2" l="1"/>
  <c r="M7" i="2"/>
  <c r="L34" i="2"/>
  <c r="K31" i="2" l="1"/>
  <c r="M29" i="2"/>
  <c r="K34" i="2" l="1"/>
  <c r="M31" i="2"/>
  <c r="M3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7" authorId="0" shapeId="0" xr:uid="{DAC0B902-9689-49B6-A6B2-832C8D743197}">
      <text>
        <r>
          <rPr>
            <sz val="10"/>
            <color rgb="FF000000"/>
            <rFont val="Arial"/>
            <family val="2"/>
            <scheme val="minor"/>
          </rPr>
          <t>======
ID#AAABYEJkJT8
    (2024-11-05 11:38:24)
Descrição do serviço a ser executado.</t>
        </r>
      </text>
    </comment>
    <comment ref="H12" authorId="0" shapeId="0" xr:uid="{FDCA927A-56A5-42F3-B844-471133787C25}">
      <text>
        <r>
          <rPr>
            <sz val="10"/>
            <color rgb="FF000000"/>
            <rFont val="Arial"/>
            <family val="2"/>
            <scheme val="minor"/>
          </rPr>
          <t>======
ID#AAABYEJkJTY
    (2024-11-05 11:38:24)
TÉRMINO DO CONTRATO</t>
        </r>
      </text>
    </comment>
    <comment ref="E51" authorId="0" shapeId="0" xr:uid="{E19A64F4-20C9-4995-89BE-829F54E3B32C}">
      <text>
        <r>
          <rPr>
            <sz val="10"/>
            <color rgb="FF000000"/>
            <rFont val="Arial"/>
            <family val="2"/>
            <scheme val="minor"/>
          </rPr>
          <t>======
ID#AAABYEJkJT4
    (2024-11-05 11:38:24)
Soma dos valores retidos</t>
        </r>
      </text>
    </comment>
    <comment ref="H51" authorId="0" shapeId="0" xr:uid="{E6555CE2-3F90-4BE8-8FB7-01C064F16E0B}">
      <text>
        <r>
          <rPr>
            <sz val="10"/>
            <color rgb="FF000000"/>
            <rFont val="Arial"/>
            <family val="2"/>
            <scheme val="minor"/>
          </rPr>
          <t>======
ID#AAABYEIHems
    (2024-11-05 11:38:24)
Retenção do mês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A5B58806-357B-4F7A-9FA2-254EE629389B}">
      <text>
        <r>
          <rPr>
            <sz val="10"/>
            <color rgb="FF000000"/>
            <rFont val="Arial"/>
            <family val="2"/>
            <scheme val="minor"/>
          </rPr>
          <t>======
ID#AAABYEJkJTk
    (2024-11-05 11:38:24)
Deverá ser inserido o número da medição, o mês de vigência e o ano.</t>
        </r>
      </text>
    </comment>
    <comment ref="E2" authorId="0" shapeId="0" xr:uid="{315F16C1-C5B9-41FE-99F8-4FEC9980F7A6}">
      <text>
        <r>
          <rPr>
            <sz val="10"/>
            <color rgb="FF000000"/>
            <rFont val="Arial"/>
            <family val="2"/>
            <scheme val="minor"/>
          </rPr>
          <t>======
ID#AAABYEJkJUA
    (2024-11-05 11:38:24)
Nome da empresa prestadora de serviço</t>
        </r>
      </text>
    </comment>
    <comment ref="I2" authorId="0" shapeId="0" xr:uid="{75B8B0DB-D6B7-49B8-A6E9-6A17AB4FC19F}">
      <text>
        <r>
          <rPr>
            <sz val="10"/>
            <color rgb="FF000000"/>
            <rFont val="Arial"/>
            <family val="2"/>
            <scheme val="minor"/>
          </rPr>
          <t>======
ID#AAABYEJkJUI
    (2024-11-05 11:38:24)
Número do contrato</t>
        </r>
      </text>
    </comment>
    <comment ref="E3" authorId="0" shapeId="0" xr:uid="{4BAA5C10-4A9E-4AA5-BFA9-AF67EBDEE70E}">
      <text>
        <r>
          <rPr>
            <sz val="10"/>
            <color rgb="FF000000"/>
            <rFont val="Arial"/>
            <family val="2"/>
            <scheme val="minor"/>
          </rPr>
          <t>======
ID#AAABYEJkJTg
    (2024-11-05 11:38:24)
Local ou bairro onde esta sendo executado o serviço. Caso seja executado para a sede, deverá ser inserido Aguas de xxxx</t>
        </r>
      </text>
    </comment>
    <comment ref="I3" authorId="0" shapeId="0" xr:uid="{E49E5008-FF1F-44C4-BF12-38A731ED9D3A}">
      <text>
        <r>
          <rPr>
            <sz val="10"/>
            <color rgb="FF000000"/>
            <rFont val="Arial"/>
            <family val="2"/>
            <scheme val="minor"/>
          </rPr>
          <t>======
ID#AAABYEJkJTw
    (2024-11-05 11:38:24)
Periodo inicial da medição dentro do mês</t>
        </r>
      </text>
    </comment>
    <comment ref="K3" authorId="0" shapeId="0" xr:uid="{F62E50C1-E36A-4666-B1B1-8BB7A7C6E132}">
      <text>
        <r>
          <rPr>
            <sz val="10"/>
            <color rgb="FF000000"/>
            <rFont val="Arial"/>
            <family val="2"/>
            <scheme val="minor"/>
          </rPr>
          <t>======
ID#AAABYD-ThTg
    (2024-11-05 11:38:24)
Período final da medição dentro do mês</t>
        </r>
      </text>
    </comment>
    <comment ref="B7" authorId="0" shapeId="0" xr:uid="{60B5C42E-54A9-47B6-95E7-2E651E99BAD7}">
      <text>
        <r>
          <rPr>
            <sz val="10"/>
            <color rgb="FF000000"/>
            <rFont val="Arial"/>
            <family val="2"/>
            <scheme val="minor"/>
          </rPr>
          <t>======
ID#AAABYEJkJTU
    (2024-11-05 11:38:24)
Descrição do serviço a ser executado, quando a medição contiver mais de um item, deverão ser discriminados aqui os itens e as quantidades alimentadas mês a mês.</t>
        </r>
      </text>
    </comment>
    <comment ref="B8" authorId="0" shapeId="0" xr:uid="{03AEAE17-6B82-4995-A435-6C98EB7C7025}">
      <text>
        <r>
          <rPr>
            <sz val="10"/>
            <color rgb="FF000000"/>
            <rFont val="Arial"/>
            <family val="2"/>
            <scheme val="minor"/>
          </rPr>
          <t>======
ID#AAABYEJkJTU
    (2024-11-05 11:38:24)
Descrição do serviço a ser executado, quando a medição contiver mais de um item, deverão ser discriminados aqui os itens e as quantidades alimentadas mês a mês.</t>
        </r>
      </text>
    </comment>
    <comment ref="B11" authorId="0" shapeId="0" xr:uid="{9640E4A8-60E9-401B-AC62-8082257E6AAB}">
      <text>
        <r>
          <rPr>
            <sz val="10"/>
            <color rgb="FF000000"/>
            <rFont val="Arial"/>
            <family val="2"/>
            <scheme val="minor"/>
          </rPr>
          <t>======
ID#AAABYEIHemk
    (2024-11-05 11:38:24)
Descrição do serviço a ser executado, quando a medição contiver mais de um item, deverão ser discriminados aqui os itens e as quantidades alimentadas mês a mês.</t>
        </r>
      </text>
    </comment>
    <comment ref="B12" authorId="0" shapeId="0" xr:uid="{BC1C6312-E924-4931-895E-7ED4ECC5B418}">
      <text>
        <r>
          <rPr>
            <sz val="10"/>
            <color rgb="FF000000"/>
            <rFont val="Arial"/>
            <family val="2"/>
            <scheme val="minor"/>
          </rPr>
          <t>======
ID#AAABYEYUf08
    (2024-11-05 11:38:24)
Descrição do serviço a ser executado, quando a medição contiver mais de um item, deverão ser discriminados aqui os itens e as quantidades alimentadas mês a mês.</t>
        </r>
      </text>
    </comment>
    <comment ref="B13" authorId="0" shapeId="0" xr:uid="{9866FB61-533D-4CE9-A227-B14843375DCF}">
      <text>
        <r>
          <rPr>
            <sz val="10"/>
            <color rgb="FF000000"/>
            <rFont val="Arial"/>
            <family val="2"/>
            <scheme val="minor"/>
          </rPr>
          <t>======
ID#AAABYEJkJUY
    (2024-11-05 11:38:24)
Descrição do serviço a ser executado, quando a medição contiver mais de um item, deverão ser discriminados aqui os itens e as quantidades alimentadas mês a mês.</t>
        </r>
      </text>
    </comment>
    <comment ref="B14" authorId="0" shapeId="0" xr:uid="{1F261098-0FDC-476C-9533-060AD2CC5F68}">
      <text>
        <r>
          <rPr>
            <sz val="10"/>
            <color rgb="FF000000"/>
            <rFont val="Arial"/>
            <family val="2"/>
            <scheme val="minor"/>
          </rPr>
          <t>======
ID#AAABYEJkJTo
    (2024-11-05 11:38:24)
Descrição do serviço a ser executado, quando a medição contiver mais de um item, deverão ser discriminados aqui os itens e as quantidades alimentadas mês a mês.</t>
        </r>
      </text>
    </comment>
    <comment ref="B15" authorId="0" shapeId="0" xr:uid="{5E7CCBF0-26C0-4B5E-812E-742042097290}">
      <text>
        <r>
          <rPr>
            <sz val="10"/>
            <color rgb="FF000000"/>
            <rFont val="Arial"/>
            <family val="2"/>
            <scheme val="minor"/>
          </rPr>
          <t>======
ID#AAABYD-ThTc
    (2024-11-05 11:38:24)
Descrição do serviço a ser executado, quando a medição contiver mais de um item, deverão ser discriminados aqui os itens e as quantidades alimentadas mês a mês.</t>
        </r>
      </text>
    </comment>
    <comment ref="B16" authorId="0" shapeId="0" xr:uid="{5F9C1166-4C3A-4CF8-B6EA-012302AB1AF9}">
      <text>
        <r>
          <rPr>
            <sz val="10"/>
            <color rgb="FF000000"/>
            <rFont val="Arial"/>
            <family val="2"/>
            <scheme val="minor"/>
          </rPr>
          <t>======
ID#AAABYEJkJTQ
    (2024-11-05 11:38:24)
Descrição do serviço a ser executado, quando a medição contiver mais de um item, deverão ser discriminados aqui os itens e as quantidades alimentadas mês a mês.</t>
        </r>
      </text>
    </comment>
    <comment ref="B17" authorId="0" shapeId="0" xr:uid="{391E46B5-5C56-4C29-86A5-3F3CE60A2817}">
      <text>
        <r>
          <rPr>
            <sz val="10"/>
            <color rgb="FF000000"/>
            <rFont val="Arial"/>
            <family val="2"/>
            <scheme val="minor"/>
          </rPr>
          <t>======
ID#AAABYEYUf04
    (2024-11-05 11:38:24)
Descrição do serviço a ser executado, quando a medição contiver mais de um item, deverão ser discriminados aqui os itens e as quantidades alimentadas mês a mês.</t>
        </r>
      </text>
    </comment>
    <comment ref="B18" authorId="0" shapeId="0" xr:uid="{55CC3BE0-20D4-4D05-AC25-1BF6859E30B1}">
      <text>
        <r>
          <rPr>
            <sz val="10"/>
            <color rgb="FF000000"/>
            <rFont val="Arial"/>
            <family val="2"/>
            <scheme val="minor"/>
          </rPr>
          <t>======
ID#AAABYEIHemo
    (2024-11-05 11:38:24)
Descrição do serviço a ser executado, quando a medição contiver mais de um item, deverão ser discriminados aqui os itens e as quantidades alimentadas mês a mês.</t>
        </r>
      </text>
    </comment>
    <comment ref="B19" authorId="0" shapeId="0" xr:uid="{F253E6CE-E982-4345-8786-867CF6D29243}">
      <text>
        <r>
          <rPr>
            <sz val="10"/>
            <color rgb="FF000000"/>
            <rFont val="Arial"/>
            <family val="2"/>
            <scheme val="minor"/>
          </rPr>
          <t>======
ID#AAABYEYUf0s
    (2024-11-05 11:38:24)
Descrição do serviço a ser executado, quando a medição contiver mais de um item, deverão ser discriminados aqui os itens e as quantidades alimentadas mês a mês.</t>
        </r>
      </text>
    </comment>
    <comment ref="B20" authorId="0" shapeId="0" xr:uid="{56069DBD-BFD7-4AE3-AF61-D291D2836F5B}">
      <text>
        <r>
          <rPr>
            <sz val="10"/>
            <color rgb="FF000000"/>
            <rFont val="Arial"/>
            <family val="2"/>
            <scheme val="minor"/>
          </rPr>
          <t>======
ID#AAABYEJkJT0
    (2024-11-05 11:38:24)
Descrição do serviço a ser executado, quando a medição contiver mais de um item, deverão ser discriminados aqui os itens e as quantidades alimentadas mês a mês.</t>
        </r>
      </text>
    </comment>
    <comment ref="B21" authorId="0" shapeId="0" xr:uid="{0ACF60A2-36B9-4C86-8FBD-10734DAD808B}">
      <text>
        <r>
          <rPr>
            <sz val="10"/>
            <color rgb="FF000000"/>
            <rFont val="Arial"/>
            <family val="2"/>
            <scheme val="minor"/>
          </rPr>
          <t>======
ID#AAABYEJkJUE
    (2024-11-05 11:38:24)
Descrição do serviço a ser executado, quando a medição contiver mais de um item, deverão ser discriminados aqui os itens e as quantidades alimentadas mês a mês.</t>
        </r>
      </text>
    </comment>
    <comment ref="B22" authorId="0" shapeId="0" xr:uid="{2866E34D-1B2A-4F37-93FA-EACA3E1F44CB}">
      <text>
        <r>
          <rPr>
            <sz val="10"/>
            <color rgb="FF000000"/>
            <rFont val="Arial"/>
            <family val="2"/>
            <scheme val="minor"/>
          </rPr>
          <t>======
ID#AAABYEYUf0w
    (2024-11-05 11:38:24)
Descrição do serviço a ser executado, quando a medição contiver mais de um item, deverão ser discriminados aqui os itens e as quantidades alimentadas mês a mês.</t>
        </r>
      </text>
    </comment>
    <comment ref="B23" authorId="0" shapeId="0" xr:uid="{D122F37F-2FB7-441C-ACAD-16A781629411}">
      <text>
        <r>
          <rPr>
            <sz val="10"/>
            <color rgb="FF000000"/>
            <rFont val="Arial"/>
            <family val="2"/>
            <scheme val="minor"/>
          </rPr>
          <t>======
ID#AAABYEJkJUM
    (2024-11-05 11:38:24)
Descrição do serviço a ser executado, quando a medição contiver mais de um item, deverão ser discriminados aqui os itens e as quantidades alimentadas mês a mês.</t>
        </r>
      </text>
    </comment>
    <comment ref="B24" authorId="0" shapeId="0" xr:uid="{713B34E5-B479-400F-9284-8F997B7399C5}">
      <text>
        <r>
          <rPr>
            <sz val="10"/>
            <color rgb="FF000000"/>
            <rFont val="Arial"/>
            <family val="2"/>
            <scheme val="minor"/>
          </rPr>
          <t>======
ID#AAABYEJkJUU
    (2024-11-05 11:38:24)
Descrição do serviço a ser executado, quando a medição contiver mais de um item, deverão ser discriminados aqui os itens e as quantidades alimentadas mês a mês.</t>
        </r>
      </text>
    </comment>
    <comment ref="B25" authorId="0" shapeId="0" xr:uid="{33A6452B-E60B-4928-AD14-9BCA65B0CDAA}">
      <text>
        <r>
          <rPr>
            <sz val="10"/>
            <color rgb="FF000000"/>
            <rFont val="Arial"/>
            <family val="2"/>
            <scheme val="minor"/>
          </rPr>
          <t>======
ID#AAABYEJkJTs
    (2024-11-05 11:38:24)
Descrição do serviço a ser executado, quando a medição contiver mais de um item, deverão ser discriminados aqui os itens e as quantidades alimentadas mês a mês.</t>
        </r>
      </text>
    </comment>
    <comment ref="B26" authorId="0" shapeId="0" xr:uid="{D3A6BE52-CA21-434C-A6A6-6D8D039E48AD}">
      <text>
        <r>
          <rPr>
            <sz val="10"/>
            <color rgb="FF000000"/>
            <rFont val="Arial"/>
            <family val="2"/>
            <scheme val="minor"/>
          </rPr>
          <t>======
ID#AAABYEJkJUQ
    (2024-11-05 11:38:24)
Descrição do serviço a ser executado, quando a medição contiver mais de um item, deverão ser discriminados aqui os itens e as quantidades alimentadas mês a mês.</t>
        </r>
      </text>
    </comment>
    <comment ref="B27" authorId="0" shapeId="0" xr:uid="{D8403670-A65A-42FF-B6ED-DFFBA6C09F9D}">
      <text>
        <r>
          <rPr>
            <sz val="10"/>
            <color rgb="FF000000"/>
            <rFont val="Arial"/>
            <family val="2"/>
            <scheme val="minor"/>
          </rPr>
          <t>======
ID#AAABYEIHemw
    (2024-11-05 11:38:24)
Descrição do serviço a ser executado, quando a medição contiver mais de um item, deverão ser discriminados aqui os itens e as quantidades alimentadas mês a mês.</t>
        </r>
      </text>
    </comment>
    <comment ref="B28" authorId="0" shapeId="0" xr:uid="{E6695D22-8389-455B-BA51-930AF13C9848}">
      <text>
        <r>
          <rPr>
            <sz val="10"/>
            <color rgb="FF000000"/>
            <rFont val="Arial"/>
            <family val="2"/>
            <scheme val="minor"/>
          </rPr>
          <t>======
ID#AAABYEJkJTc
    (2024-11-05 11:38:24)
Descrição do serviço a ser executado, quando a medição contiver mais de um item, deverão ser discriminados aqui os itens e as quantidades alimentadas mês a mês.</t>
        </r>
      </text>
    </comment>
    <comment ref="A39" authorId="0" shapeId="0" xr:uid="{4AF27DA6-FBBD-438C-8E72-AEFBCC991EEA}">
      <text>
        <r>
          <rPr>
            <sz val="10"/>
            <color rgb="FF000000"/>
            <rFont val="Arial"/>
            <family val="2"/>
            <scheme val="minor"/>
          </rPr>
          <t>======
ID#AAABYEIHem0
    (2024-11-05 11:38:24)
Empresa prestadora de serviço e seu representante legal</t>
        </r>
      </text>
    </comment>
  </commentList>
</comments>
</file>

<file path=xl/sharedStrings.xml><?xml version="1.0" encoding="utf-8"?>
<sst xmlns="http://schemas.openxmlformats.org/spreadsheetml/2006/main" count="116" uniqueCount="96">
  <si>
    <t>PROTOCOLO DE MEDIÇÃO</t>
  </si>
  <si>
    <t>COMPANHIA RIOGRANDENSE DE SANEAMENTO - CORSAN</t>
  </si>
  <si>
    <t>CONTRATO Nº</t>
  </si>
  <si>
    <t>Rua Caldas Júnior nº. 120, 18º andar</t>
  </si>
  <si>
    <t>Porto Alegre/RS</t>
  </si>
  <si>
    <t>CNPJ:  92.802.784/0001-90</t>
  </si>
  <si>
    <t>Boletim de Medição n. 14</t>
  </si>
  <si>
    <t>ENVIO DE SMS</t>
  </si>
  <si>
    <t>EMPRESA :</t>
  </si>
  <si>
    <t>4C DIGITAL</t>
  </si>
  <si>
    <t>CONTRATO :</t>
  </si>
  <si>
    <t>MODALIDADE :</t>
  </si>
  <si>
    <t>Unitário</t>
  </si>
  <si>
    <t>LOCAL:</t>
  </si>
  <si>
    <t>Rua da Assembléia, nº 10, sala 3318, Rio de Janeiro</t>
  </si>
  <si>
    <t>DATA BASE :</t>
  </si>
  <si>
    <t xml:space="preserve"> </t>
  </si>
  <si>
    <t>PERÍODO :</t>
  </si>
  <si>
    <t>01/02 A 28/02</t>
  </si>
  <si>
    <t>Término</t>
  </si>
  <si>
    <t xml:space="preserve">MÊS DE EXECUÇÃO DAS OBRAS/SERVIÇOS   : </t>
  </si>
  <si>
    <t>FEVEREIRO</t>
  </si>
  <si>
    <t>SOURCING</t>
  </si>
  <si>
    <t xml:space="preserve">DATA DE APRESENTAÇÃO  DA MEDIÇÃO :  </t>
  </si>
  <si>
    <t>1.- VALOR DO CONTRATO JURÍDICO</t>
  </si>
  <si>
    <t>VALOR  ORIGINAL DO CONTRATO :    R $</t>
  </si>
  <si>
    <t>2.- ADIANTAMENTO</t>
  </si>
  <si>
    <t>Data</t>
  </si>
  <si>
    <t>3.- VALOR DA SOURCING</t>
  </si>
  <si>
    <t>4.- MEDIÇÕES BRUTAS</t>
  </si>
  <si>
    <t>Data Aprovação</t>
  </si>
  <si>
    <t>Data Prev. Pagto</t>
  </si>
  <si>
    <t>Boletim de Medição n. 01 SMS</t>
  </si>
  <si>
    <t>Boletim de Medição n. 02 SMS</t>
  </si>
  <si>
    <t>Boletim de Medição n. 03 SMS</t>
  </si>
  <si>
    <t>Boletim de Medição n. 04 SMS</t>
  </si>
  <si>
    <t>Boletim de Medição n. 05 SMS</t>
  </si>
  <si>
    <t>Boletim de Medição n. 06 SMS</t>
  </si>
  <si>
    <t>Boletim de Medição n. 07 SMS</t>
  </si>
  <si>
    <t>Boletim de Medição n. 08 SMS</t>
  </si>
  <si>
    <t>Boletim de Medição n. 09 SMS</t>
  </si>
  <si>
    <t>Boletim de Medição n. 10 SMS</t>
  </si>
  <si>
    <t>Boletim de Medição n. 11 SMS</t>
  </si>
  <si>
    <t>Boletim de Medição n. 12 SMS</t>
  </si>
  <si>
    <t>Boletim de Medição n. 13 SMS</t>
  </si>
  <si>
    <t>Boletim de Medição n. 14 SMS</t>
  </si>
  <si>
    <t>Boletim de Medição n. 15 SMS</t>
  </si>
  <si>
    <t>5.- DESCONTO DE MATERIAIS (FATURAMENTO DIRETO)</t>
  </si>
  <si>
    <t>6.- RETENÇÕES CONTRATUAIS - 5%</t>
  </si>
  <si>
    <t>Data Retenção</t>
  </si>
  <si>
    <t>Data Devolução</t>
  </si>
  <si>
    <t>Valor Retido (R$)</t>
  </si>
  <si>
    <t>Retenção (R)  Devolução (D)</t>
  </si>
  <si>
    <t>Resultado No Mês (R$)</t>
  </si>
  <si>
    <t>7.-OBSERVAÇÃO</t>
  </si>
  <si>
    <r>
      <rPr>
        <b/>
        <sz val="10"/>
        <color theme="1"/>
        <rFont val="Arial"/>
        <family val="2"/>
      </rPr>
      <t>VALOR BRUTO DA MEDIÇÃO NO MÊS</t>
    </r>
    <r>
      <rPr>
        <sz val="10"/>
        <color theme="1"/>
        <rFont val="Arial"/>
        <family val="2"/>
      </rPr>
      <t xml:space="preserve"> (sem descontos)</t>
    </r>
  </si>
  <si>
    <t>SALDO DO CONTRATO JURÍDICO</t>
  </si>
  <si>
    <t>SALDO DA SOURCING</t>
  </si>
  <si>
    <t>CENTRO DE CUSTO: GBC1131003</t>
  </si>
  <si>
    <t xml:space="preserve">CONTA CONTÁBIL: </t>
  </si>
  <si>
    <t xml:space="preserve">ITEM CAIXA: </t>
  </si>
  <si>
    <t>Aprovação de Medição</t>
  </si>
  <si>
    <t>Data:</t>
  </si>
  <si>
    <t>CONTRATANTE</t>
  </si>
  <si>
    <t>Companhia Riograndense de Saneamento - CORSAN</t>
  </si>
  <si>
    <t>Coordenador/Gerente da Área</t>
  </si>
  <si>
    <t>Representante Legal da Unidade</t>
  </si>
  <si>
    <t>BOLETIM DE MEDIÇÃO Nº 15 - FEVEREIRO 2026</t>
  </si>
  <si>
    <t xml:space="preserve">Empresa: </t>
  </si>
  <si>
    <t>Contrato :</t>
  </si>
  <si>
    <t>Modalidade :</t>
  </si>
  <si>
    <t>Local:</t>
  </si>
  <si>
    <t>Período :</t>
  </si>
  <si>
    <t>Data Base :</t>
  </si>
  <si>
    <t>ITEM</t>
  </si>
  <si>
    <t>DESCRIÇÃO</t>
  </si>
  <si>
    <t>UND</t>
  </si>
  <si>
    <t>QUANT.</t>
  </si>
  <si>
    <t>P.U.</t>
  </si>
  <si>
    <t>PREVISTO</t>
  </si>
  <si>
    <t>Q U A N T I D A D E S</t>
  </si>
  <si>
    <t>V A L O R E S</t>
  </si>
  <si>
    <t>$</t>
  </si>
  <si>
    <t>ACUM. ANT.</t>
  </si>
  <si>
    <t>MES</t>
  </si>
  <si>
    <t>ACUM. TOTAL</t>
  </si>
  <si>
    <t>SV DE COBRANÇA</t>
  </si>
  <si>
    <t>un</t>
  </si>
  <si>
    <t>TOTAL DO VALOR DO CONTRATO</t>
  </si>
  <si>
    <t>MEDIÇÃO BRUTA (R$)</t>
  </si>
  <si>
    <t>FATURAMENTO DIRETO (R$)</t>
  </si>
  <si>
    <t>ADIANTAMENTO</t>
  </si>
  <si>
    <t>MEDIÇÃO LÍQUIDA (R$)</t>
  </si>
  <si>
    <t>Representante Legal</t>
  </si>
  <si>
    <t>Supervisor/Coordenador Área</t>
  </si>
  <si>
    <t>Gerente da 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</si>
</sst>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\-* #,##0.00_-;_-* &quot;-&quot;??_-;_-@"/>
    <numFmt numFmtId="166" formatCode="_(* #,##0_);_(* \(#,##0\);_(* &quot;-&quot;??_);_(@_)"/>
    <numFmt numFmtId="167" formatCode="&quot;Ano&quot;\ General"/>
    <numFmt numFmtId="168" formatCode="&quot;R$&quot;\ #,##0.00"/>
    <numFmt numFmtId="169" formatCode="_(&quot;R$ &quot;* #,##0.00_);_(&quot;R$ &quot;* \(#,##0.00\);_(&quot;R$ &quot;* &quot;-&quot;??_);_(@_)"/>
  </numFmts>
  <fonts count="22" x14ac:knownFonts="1">
    <font>
      <sz val="10"/>
      <color rgb="FF000000"/>
      <name val="Arial"/>
      <scheme val="minor"/>
    </font>
    <font>
      <b/>
      <sz val="18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  <scheme val="minor"/>
    </font>
    <font>
      <sz val="16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9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dotted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4" fillId="0" borderId="0" xfId="0" applyFont="1"/>
    <xf numFmtId="0" fontId="3" fillId="0" borderId="41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41" xfId="0" applyFont="1" applyBorder="1" applyAlignment="1">
      <alignment horizontal="center" vertical="center"/>
    </xf>
    <xf numFmtId="164" fontId="3" fillId="0" borderId="41" xfId="0" applyNumberFormat="1" applyFont="1" applyBorder="1" applyAlignment="1">
      <alignment vertical="center"/>
    </xf>
    <xf numFmtId="0" fontId="4" fillId="0" borderId="42" xfId="0" applyFont="1" applyBorder="1" applyAlignment="1">
      <alignment horizontal="left" vertical="center"/>
    </xf>
    <xf numFmtId="164" fontId="4" fillId="0" borderId="41" xfId="0" applyNumberFormat="1" applyFont="1" applyBorder="1" applyAlignment="1">
      <alignment vertical="center"/>
    </xf>
    <xf numFmtId="164" fontId="4" fillId="0" borderId="43" xfId="0" applyNumberFormat="1" applyFont="1" applyBorder="1" applyAlignment="1">
      <alignment horizontal="center" vertical="center"/>
    </xf>
    <xf numFmtId="0" fontId="3" fillId="0" borderId="42" xfId="0" applyFont="1" applyBorder="1" applyAlignment="1">
      <alignment horizontal="left" vertical="center"/>
    </xf>
    <xf numFmtId="0" fontId="4" fillId="0" borderId="42" xfId="0" applyFont="1" applyBorder="1" applyAlignment="1">
      <alignment vertical="center"/>
    </xf>
    <xf numFmtId="0" fontId="14" fillId="0" borderId="42" xfId="0" applyFont="1" applyBorder="1" applyAlignment="1">
      <alignment horizontal="left" vertical="center"/>
    </xf>
    <xf numFmtId="0" fontId="4" fillId="0" borderId="42" xfId="0" applyFont="1" applyBorder="1" applyAlignment="1">
      <alignment horizontal="center" vertical="center"/>
    </xf>
    <xf numFmtId="164" fontId="3" fillId="0" borderId="42" xfId="0" applyNumberFormat="1" applyFont="1" applyBorder="1" applyAlignment="1">
      <alignment vertical="center"/>
    </xf>
    <xf numFmtId="14" fontId="4" fillId="0" borderId="42" xfId="0" applyNumberFormat="1" applyFont="1" applyBorder="1" applyAlignment="1">
      <alignment horizontal="left" vertical="center"/>
    </xf>
    <xf numFmtId="164" fontId="4" fillId="0" borderId="42" xfId="0" applyNumberFormat="1" applyFont="1" applyBorder="1" applyAlignment="1">
      <alignment horizontal="center" vertical="center"/>
    </xf>
    <xf numFmtId="14" fontId="4" fillId="0" borderId="42" xfId="0" applyNumberFormat="1" applyFont="1" applyBorder="1" applyAlignment="1">
      <alignment horizontal="center" vertical="center"/>
    </xf>
    <xf numFmtId="14" fontId="4" fillId="0" borderId="44" xfId="0" applyNumberFormat="1" applyFont="1" applyBorder="1" applyAlignment="1">
      <alignment horizontal="center" vertical="center"/>
    </xf>
    <xf numFmtId="14" fontId="4" fillId="0" borderId="45" xfId="0" applyNumberFormat="1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4" fillId="0" borderId="45" xfId="0" applyFont="1" applyBorder="1" applyAlignment="1">
      <alignment horizontal="center" vertical="center"/>
    </xf>
    <xf numFmtId="164" fontId="3" fillId="0" borderId="45" xfId="0" applyNumberFormat="1" applyFont="1" applyBorder="1" applyAlignment="1">
      <alignment vertical="center"/>
    </xf>
    <xf numFmtId="17" fontId="4" fillId="0" borderId="46" xfId="0" applyNumberFormat="1" applyFont="1" applyBorder="1" applyAlignment="1">
      <alignment horizontal="left" vertical="center"/>
    </xf>
    <xf numFmtId="17" fontId="4" fillId="0" borderId="46" xfId="0" applyNumberFormat="1" applyFont="1" applyBorder="1" applyAlignment="1">
      <alignment horizontal="center" vertical="center"/>
    </xf>
    <xf numFmtId="164" fontId="4" fillId="0" borderId="46" xfId="0" applyNumberFormat="1" applyFont="1" applyBorder="1" applyAlignment="1">
      <alignment horizontal="center" vertical="center"/>
    </xf>
    <xf numFmtId="164" fontId="4" fillId="0" borderId="46" xfId="0" applyNumberFormat="1" applyFont="1" applyBorder="1" applyAlignment="1">
      <alignment vertical="center"/>
    </xf>
    <xf numFmtId="164" fontId="4" fillId="0" borderId="47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164" fontId="3" fillId="0" borderId="53" xfId="0" applyNumberFormat="1" applyFont="1" applyBorder="1" applyAlignment="1">
      <alignment horizontal="center" vertical="center"/>
    </xf>
    <xf numFmtId="164" fontId="3" fillId="0" borderId="54" xfId="0" applyNumberFormat="1" applyFont="1" applyBorder="1" applyAlignment="1">
      <alignment horizontal="center" vertical="center"/>
    </xf>
    <xf numFmtId="164" fontId="3" fillId="0" borderId="55" xfId="0" applyNumberFormat="1" applyFont="1" applyBorder="1" applyAlignment="1">
      <alignment horizontal="center" vertical="center"/>
    </xf>
    <xf numFmtId="164" fontId="3" fillId="0" borderId="56" xfId="0" applyNumberFormat="1" applyFont="1" applyBorder="1" applyAlignment="1">
      <alignment horizontal="center" vertical="center"/>
    </xf>
    <xf numFmtId="164" fontId="3" fillId="0" borderId="57" xfId="0" applyNumberFormat="1" applyFont="1" applyBorder="1" applyAlignment="1">
      <alignment horizontal="center" vertical="center"/>
    </xf>
    <xf numFmtId="164" fontId="3" fillId="0" borderId="58" xfId="0" applyNumberFormat="1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4" fontId="4" fillId="0" borderId="62" xfId="0" applyNumberFormat="1" applyFont="1" applyBorder="1" applyAlignment="1">
      <alignment horizontal="center" vertical="center"/>
    </xf>
    <xf numFmtId="164" fontId="4" fillId="0" borderId="60" xfId="0" applyNumberFormat="1" applyFont="1" applyBorder="1" applyAlignment="1">
      <alignment horizontal="center" vertical="center"/>
    </xf>
    <xf numFmtId="164" fontId="4" fillId="0" borderId="59" xfId="0" applyNumberFormat="1" applyFont="1" applyBorder="1" applyAlignment="1">
      <alignment horizontal="center" vertical="center"/>
    </xf>
    <xf numFmtId="164" fontId="4" fillId="0" borderId="62" xfId="0" applyNumberFormat="1" applyFont="1" applyBorder="1" applyAlignment="1">
      <alignment horizontal="left" vertical="center"/>
    </xf>
    <xf numFmtId="164" fontId="4" fillId="0" borderId="63" xfId="0" applyNumberFormat="1" applyFont="1" applyBorder="1" applyAlignment="1">
      <alignment horizontal="center" vertical="center"/>
    </xf>
    <xf numFmtId="164" fontId="4" fillId="0" borderId="61" xfId="0" applyNumberFormat="1" applyFont="1" applyBorder="1" applyAlignment="1">
      <alignment vertical="center"/>
    </xf>
    <xf numFmtId="164" fontId="4" fillId="0" borderId="62" xfId="0" applyNumberFormat="1" applyFont="1" applyBorder="1" applyAlignment="1">
      <alignment vertical="center"/>
    </xf>
    <xf numFmtId="164" fontId="4" fillId="0" borderId="63" xfId="0" applyNumberFormat="1" applyFont="1" applyBorder="1" applyAlignment="1">
      <alignment vertical="center"/>
    </xf>
    <xf numFmtId="166" fontId="4" fillId="0" borderId="63" xfId="0" applyNumberFormat="1" applyFont="1" applyBorder="1" applyAlignment="1">
      <alignment horizontal="center" vertical="center"/>
    </xf>
    <xf numFmtId="164" fontId="4" fillId="0" borderId="64" xfId="0" applyNumberFormat="1" applyFont="1" applyBorder="1" applyAlignment="1">
      <alignment horizontal="center" vertical="center"/>
    </xf>
    <xf numFmtId="164" fontId="4" fillId="0" borderId="64" xfId="0" applyNumberFormat="1" applyFont="1" applyBorder="1" applyAlignment="1">
      <alignment horizontal="left" vertical="center"/>
    </xf>
    <xf numFmtId="0" fontId="4" fillId="0" borderId="59" xfId="0" applyFont="1" applyBorder="1" applyAlignment="1">
      <alignment horizontal="center"/>
    </xf>
    <xf numFmtId="0" fontId="4" fillId="0" borderId="62" xfId="0" applyFont="1" applyBorder="1" applyAlignment="1">
      <alignment horizontal="center"/>
    </xf>
    <xf numFmtId="164" fontId="4" fillId="0" borderId="64" xfId="0" applyNumberFormat="1" applyFont="1" applyBorder="1"/>
    <xf numFmtId="164" fontId="4" fillId="0" borderId="62" xfId="0" applyNumberFormat="1" applyFont="1" applyBorder="1" applyAlignment="1">
      <alignment horizontal="center"/>
    </xf>
    <xf numFmtId="164" fontId="4" fillId="0" borderId="60" xfId="0" applyNumberFormat="1" applyFont="1" applyBorder="1" applyAlignment="1">
      <alignment horizontal="center"/>
    </xf>
    <xf numFmtId="166" fontId="4" fillId="0" borderId="63" xfId="0" applyNumberFormat="1" applyFont="1" applyBorder="1" applyAlignment="1">
      <alignment horizontal="center"/>
    </xf>
    <xf numFmtId="164" fontId="4" fillId="0" borderId="61" xfId="0" applyNumberFormat="1" applyFont="1" applyBorder="1" applyAlignment="1">
      <alignment horizontal="right"/>
    </xf>
    <xf numFmtId="164" fontId="4" fillId="0" borderId="62" xfId="0" applyNumberFormat="1" applyFont="1" applyBorder="1" applyAlignment="1">
      <alignment horizontal="right"/>
    </xf>
    <xf numFmtId="164" fontId="4" fillId="0" borderId="63" xfId="0" applyNumberFormat="1" applyFont="1" applyBorder="1" applyAlignment="1">
      <alignment horizontal="right"/>
    </xf>
    <xf numFmtId="0" fontId="4" fillId="0" borderId="64" xfId="0" applyFont="1" applyBorder="1" applyAlignment="1">
      <alignment horizontal="center" vertical="center"/>
    </xf>
    <xf numFmtId="164" fontId="4" fillId="0" borderId="65" xfId="0" applyNumberFormat="1" applyFont="1" applyBorder="1" applyAlignment="1">
      <alignment horizontal="center" vertical="center"/>
    </xf>
    <xf numFmtId="167" fontId="15" fillId="0" borderId="66" xfId="0" applyNumberFormat="1" applyFont="1" applyBorder="1" applyAlignment="1">
      <alignment horizontal="center" vertical="center"/>
    </xf>
    <xf numFmtId="4" fontId="15" fillId="0" borderId="69" xfId="0" applyNumberFormat="1" applyFont="1" applyBorder="1" applyAlignment="1">
      <alignment horizontal="center" vertical="center"/>
    </xf>
    <xf numFmtId="167" fontId="15" fillId="0" borderId="69" xfId="0" applyNumberFormat="1" applyFont="1" applyBorder="1" applyAlignment="1">
      <alignment horizontal="center" vertical="center"/>
    </xf>
    <xf numFmtId="166" fontId="15" fillId="0" borderId="69" xfId="0" applyNumberFormat="1" applyFont="1" applyBorder="1" applyAlignment="1">
      <alignment horizontal="center" vertical="center"/>
    </xf>
    <xf numFmtId="168" fontId="15" fillId="0" borderId="67" xfId="0" applyNumberFormat="1" applyFont="1" applyBorder="1" applyAlignment="1">
      <alignment horizontal="right" vertical="center"/>
    </xf>
    <xf numFmtId="167" fontId="15" fillId="0" borderId="70" xfId="0" applyNumberFormat="1" applyFont="1" applyBorder="1" applyAlignment="1">
      <alignment horizontal="center" vertical="center"/>
    </xf>
    <xf numFmtId="169" fontId="16" fillId="0" borderId="68" xfId="0" applyNumberFormat="1" applyFont="1" applyBorder="1" applyAlignment="1">
      <alignment horizontal="center" vertical="center"/>
    </xf>
    <xf numFmtId="164" fontId="16" fillId="0" borderId="68" xfId="0" applyNumberFormat="1" applyFont="1" applyBorder="1" applyAlignment="1">
      <alignment horizontal="center" vertical="center"/>
    </xf>
    <xf numFmtId="169" fontId="17" fillId="0" borderId="70" xfId="0" applyNumberFormat="1" applyFont="1" applyBorder="1" applyAlignment="1">
      <alignment horizontal="center" vertical="center"/>
    </xf>
    <xf numFmtId="0" fontId="14" fillId="0" borderId="29" xfId="0" applyFont="1" applyBorder="1"/>
    <xf numFmtId="0" fontId="9" fillId="0" borderId="8" xfId="0" applyFont="1" applyBorder="1" applyAlignment="1">
      <alignment horizontal="right"/>
    </xf>
    <xf numFmtId="0" fontId="14" fillId="0" borderId="0" xfId="0" applyFont="1"/>
    <xf numFmtId="0" fontId="9" fillId="0" borderId="30" xfId="0" applyFont="1" applyBorder="1" applyAlignment="1">
      <alignment horizontal="right"/>
    </xf>
    <xf numFmtId="164" fontId="9" fillId="0" borderId="30" xfId="0" applyNumberFormat="1" applyFont="1" applyBorder="1" applyAlignment="1">
      <alignment horizontal="right"/>
    </xf>
    <xf numFmtId="164" fontId="9" fillId="0" borderId="30" xfId="0" applyNumberFormat="1" applyFont="1" applyBorder="1" applyAlignment="1">
      <alignment horizontal="center"/>
    </xf>
    <xf numFmtId="164" fontId="14" fillId="0" borderId="30" xfId="0" applyNumberFormat="1" applyFont="1" applyBorder="1"/>
    <xf numFmtId="164" fontId="9" fillId="0" borderId="30" xfId="0" applyNumberFormat="1" applyFont="1" applyBorder="1"/>
    <xf numFmtId="164" fontId="9" fillId="0" borderId="28" xfId="0" applyNumberFormat="1" applyFont="1" applyBorder="1"/>
    <xf numFmtId="49" fontId="4" fillId="0" borderId="71" xfId="0" applyNumberFormat="1" applyFont="1" applyBorder="1" applyAlignment="1">
      <alignment horizontal="center" vertical="center"/>
    </xf>
    <xf numFmtId="0" fontId="3" fillId="0" borderId="72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164" fontId="4" fillId="0" borderId="73" xfId="0" applyNumberFormat="1" applyFont="1" applyBorder="1" applyAlignment="1">
      <alignment vertical="center"/>
    </xf>
    <xf numFmtId="164" fontId="4" fillId="0" borderId="74" xfId="0" applyNumberFormat="1" applyFont="1" applyBorder="1" applyAlignment="1">
      <alignment vertical="center"/>
    </xf>
    <xf numFmtId="164" fontId="4" fillId="0" borderId="75" xfId="0" applyNumberFormat="1" applyFont="1" applyBorder="1" applyAlignment="1">
      <alignment vertical="center"/>
    </xf>
    <xf numFmtId="49" fontId="3" fillId="0" borderId="59" xfId="0" applyNumberFormat="1" applyFont="1" applyBorder="1" applyAlignment="1">
      <alignment horizontal="center" vertical="center"/>
    </xf>
    <xf numFmtId="0" fontId="3" fillId="0" borderId="60" xfId="0" applyFont="1" applyBorder="1" applyAlignment="1">
      <alignment vertical="center"/>
    </xf>
    <xf numFmtId="0" fontId="3" fillId="0" borderId="42" xfId="0" applyFont="1" applyBorder="1" applyAlignment="1">
      <alignment vertical="center"/>
    </xf>
    <xf numFmtId="0" fontId="3" fillId="0" borderId="44" xfId="0" applyFont="1" applyBorder="1" applyAlignment="1">
      <alignment vertical="center"/>
    </xf>
    <xf numFmtId="164" fontId="4" fillId="0" borderId="76" xfId="0" applyNumberFormat="1" applyFont="1" applyBorder="1" applyAlignment="1">
      <alignment vertical="center"/>
    </xf>
    <xf numFmtId="164" fontId="4" fillId="0" borderId="77" xfId="0" applyNumberFormat="1" applyFont="1" applyBorder="1" applyAlignment="1">
      <alignment vertical="center"/>
    </xf>
    <xf numFmtId="164" fontId="4" fillId="0" borderId="78" xfId="0" applyNumberFormat="1" applyFont="1" applyBorder="1" applyAlignment="1">
      <alignment vertical="center"/>
    </xf>
    <xf numFmtId="49" fontId="3" fillId="0" borderId="65" xfId="0" applyNumberFormat="1" applyFont="1" applyBorder="1" applyAlignment="1">
      <alignment horizontal="center" vertical="center"/>
    </xf>
    <xf numFmtId="0" fontId="3" fillId="0" borderId="79" xfId="0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0" fontId="3" fillId="0" borderId="80" xfId="0" applyFont="1" applyBorder="1" applyAlignment="1">
      <alignment vertical="center"/>
    </xf>
    <xf numFmtId="49" fontId="4" fillId="0" borderId="81" xfId="0" applyNumberFormat="1" applyFont="1" applyBorder="1" applyAlignment="1">
      <alignment horizontal="center" vertical="center"/>
    </xf>
    <xf numFmtId="0" fontId="3" fillId="0" borderId="82" xfId="0" applyFont="1" applyBorder="1" applyAlignment="1">
      <alignment vertical="center"/>
    </xf>
    <xf numFmtId="0" fontId="3" fillId="0" borderId="46" xfId="0" applyFont="1" applyBorder="1" applyAlignment="1">
      <alignment vertical="center"/>
    </xf>
    <xf numFmtId="0" fontId="3" fillId="0" borderId="47" xfId="0" applyFont="1" applyBorder="1" applyAlignment="1">
      <alignment vertical="center"/>
    </xf>
    <xf numFmtId="164" fontId="3" fillId="0" borderId="56" xfId="0" applyNumberFormat="1" applyFont="1" applyBorder="1" applyAlignment="1">
      <alignment vertical="center"/>
    </xf>
    <xf numFmtId="164" fontId="3" fillId="0" borderId="57" xfId="0" applyNumberFormat="1" applyFont="1" applyBorder="1" applyAlignment="1">
      <alignment vertical="center"/>
    </xf>
    <xf numFmtId="164" fontId="3" fillId="0" borderId="58" xfId="0" applyNumberFormat="1" applyFont="1" applyBorder="1" applyAlignment="1">
      <alignment vertical="center"/>
    </xf>
    <xf numFmtId="0" fontId="14" fillId="0" borderId="7" xfId="0" applyFont="1" applyBorder="1"/>
    <xf numFmtId="164" fontId="9" fillId="0" borderId="8" xfId="0" applyNumberFormat="1" applyFont="1" applyBorder="1" applyAlignment="1">
      <alignment horizontal="right"/>
    </xf>
    <xf numFmtId="164" fontId="9" fillId="0" borderId="8" xfId="0" applyNumberFormat="1" applyFont="1" applyBorder="1" applyAlignment="1">
      <alignment horizontal="center"/>
    </xf>
    <xf numFmtId="164" fontId="14" fillId="0" borderId="8" xfId="0" applyNumberFormat="1" applyFont="1" applyBorder="1"/>
    <xf numFmtId="164" fontId="9" fillId="0" borderId="8" xfId="0" applyNumberFormat="1" applyFont="1" applyBorder="1"/>
    <xf numFmtId="164" fontId="9" fillId="0" borderId="16" xfId="0" applyNumberFormat="1" applyFont="1" applyBorder="1"/>
    <xf numFmtId="164" fontId="3" fillId="0" borderId="4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4" fontId="4" fillId="0" borderId="1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5" fillId="0" borderId="5" xfId="0" applyFont="1" applyBorder="1" applyAlignment="1">
      <alignment vertical="center"/>
    </xf>
    <xf numFmtId="0" fontId="4" fillId="0" borderId="7" xfId="0" applyFont="1" applyBorder="1"/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3" fillId="0" borderId="4" xfId="0" applyFont="1" applyBorder="1"/>
    <xf numFmtId="0" fontId="9" fillId="0" borderId="0" xfId="0" applyFont="1"/>
    <xf numFmtId="0" fontId="3" fillId="0" borderId="0" xfId="0" applyFont="1" applyAlignment="1">
      <alignment horizontal="left"/>
    </xf>
    <xf numFmtId="164" fontId="4" fillId="0" borderId="0" xfId="0" applyNumberFormat="1" applyFont="1"/>
    <xf numFmtId="164" fontId="4" fillId="0" borderId="11" xfId="0" applyNumberFormat="1" applyFont="1" applyBorder="1"/>
    <xf numFmtId="0" fontId="4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164" fontId="4" fillId="0" borderId="11" xfId="0" applyNumberFormat="1" applyFont="1" applyBorder="1" applyAlignment="1">
      <alignment horizontal="center"/>
    </xf>
    <xf numFmtId="0" fontId="10" fillId="0" borderId="0" xfId="0" applyFont="1"/>
    <xf numFmtId="15" fontId="4" fillId="0" borderId="0" xfId="0" applyNumberFormat="1" applyFont="1"/>
    <xf numFmtId="0" fontId="4" fillId="0" borderId="11" xfId="0" applyFont="1" applyBorder="1" applyAlignment="1">
      <alignment horizontal="center" wrapText="1"/>
    </xf>
    <xf numFmtId="14" fontId="10" fillId="0" borderId="0" xfId="0" applyNumberFormat="1" applyFont="1" applyAlignment="1">
      <alignment horizontal="left"/>
    </xf>
    <xf numFmtId="17" fontId="4" fillId="0" borderId="0" xfId="0" applyNumberFormat="1" applyFont="1" applyAlignment="1">
      <alignment horizontal="center"/>
    </xf>
    <xf numFmtId="0" fontId="3" fillId="0" borderId="4" xfId="0" applyFont="1" applyBorder="1" applyAlignment="1">
      <alignment horizontal="left"/>
    </xf>
    <xf numFmtId="0" fontId="4" fillId="0" borderId="0" xfId="0" applyFont="1" applyAlignment="1">
      <alignment horizontal="center"/>
    </xf>
    <xf numFmtId="15" fontId="4" fillId="0" borderId="0" xfId="0" applyNumberFormat="1" applyFont="1" applyAlignment="1">
      <alignment horizontal="center"/>
    </xf>
    <xf numFmtId="164" fontId="3" fillId="0" borderId="12" xfId="0" applyNumberFormat="1" applyFont="1" applyBorder="1"/>
    <xf numFmtId="14" fontId="3" fillId="0" borderId="13" xfId="0" applyNumberFormat="1" applyFont="1" applyBorder="1" applyAlignment="1">
      <alignment horizontal="center"/>
    </xf>
    <xf numFmtId="14" fontId="4" fillId="0" borderId="0" xfId="0" applyNumberFormat="1" applyFont="1"/>
    <xf numFmtId="0" fontId="3" fillId="0" borderId="4" xfId="0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4" xfId="0" applyFont="1" applyBorder="1"/>
    <xf numFmtId="0" fontId="3" fillId="0" borderId="1" xfId="0" applyFont="1" applyBorder="1"/>
    <xf numFmtId="0" fontId="4" fillId="0" borderId="2" xfId="0" applyFont="1" applyBorder="1"/>
    <xf numFmtId="164" fontId="3" fillId="0" borderId="14" xfId="0" applyNumberFormat="1" applyFont="1" applyBorder="1"/>
    <xf numFmtId="164" fontId="3" fillId="0" borderId="15" xfId="0" applyNumberFormat="1" applyFont="1" applyBorder="1"/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64" fontId="4" fillId="0" borderId="8" xfId="0" applyNumberFormat="1" applyFont="1" applyBorder="1"/>
    <xf numFmtId="164" fontId="4" fillId="0" borderId="16" xfId="0" applyNumberFormat="1" applyFont="1" applyBorder="1"/>
    <xf numFmtId="0" fontId="3" fillId="0" borderId="4" xfId="0" applyFont="1" applyBorder="1" applyAlignment="1">
      <alignment horizontal="center" vertical="center" wrapText="1"/>
    </xf>
    <xf numFmtId="2" fontId="4" fillId="0" borderId="11" xfId="0" applyNumberFormat="1" applyFont="1" applyBorder="1"/>
    <xf numFmtId="15" fontId="4" fillId="0" borderId="4" xfId="0" applyNumberFormat="1" applyFont="1" applyBorder="1" applyAlignment="1">
      <alignment horizontal="left"/>
    </xf>
    <xf numFmtId="0" fontId="3" fillId="0" borderId="0" xfId="0" applyFont="1"/>
    <xf numFmtId="164" fontId="3" fillId="0" borderId="0" xfId="0" applyNumberFormat="1" applyFont="1"/>
    <xf numFmtId="0" fontId="4" fillId="0" borderId="11" xfId="0" applyFont="1" applyBorder="1"/>
    <xf numFmtId="0" fontId="3" fillId="0" borderId="0" xfId="0" applyFont="1" applyAlignment="1">
      <alignment horizontal="center" vertical="center" wrapText="1"/>
    </xf>
    <xf numFmtId="15" fontId="4" fillId="0" borderId="0" xfId="0" applyNumberFormat="1" applyFont="1" applyAlignment="1">
      <alignment horizontal="left"/>
    </xf>
    <xf numFmtId="0" fontId="3" fillId="0" borderId="17" xfId="0" applyFont="1" applyBorder="1"/>
    <xf numFmtId="0" fontId="4" fillId="0" borderId="18" xfId="0" applyFont="1" applyBorder="1"/>
    <xf numFmtId="164" fontId="3" fillId="0" borderId="19" xfId="0" applyNumberFormat="1" applyFont="1" applyBorder="1"/>
    <xf numFmtId="164" fontId="3" fillId="0" borderId="20" xfId="0" applyNumberFormat="1" applyFont="1" applyBorder="1"/>
    <xf numFmtId="0" fontId="3" fillId="0" borderId="21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22" xfId="0" applyNumberFormat="1" applyFont="1" applyBorder="1" applyAlignment="1">
      <alignment horizontal="center" vertical="center"/>
    </xf>
    <xf numFmtId="15" fontId="4" fillId="0" borderId="21" xfId="0" applyNumberFormat="1" applyFont="1" applyBorder="1" applyAlignment="1">
      <alignment horizontal="center"/>
    </xf>
    <xf numFmtId="164" fontId="4" fillId="0" borderId="22" xfId="0" applyNumberFormat="1" applyFont="1" applyBorder="1"/>
    <xf numFmtId="164" fontId="4" fillId="0" borderId="22" xfId="0" applyNumberFormat="1" applyFont="1" applyBorder="1" applyAlignment="1">
      <alignment horizontal="left" vertical="center"/>
    </xf>
    <xf numFmtId="0" fontId="0" fillId="0" borderId="21" xfId="0" applyBorder="1"/>
    <xf numFmtId="4" fontId="0" fillId="0" borderId="22" xfId="0" applyNumberFormat="1" applyBorder="1"/>
    <xf numFmtId="15" fontId="4" fillId="0" borderId="23" xfId="0" applyNumberFormat="1" applyFont="1" applyBorder="1" applyAlignment="1">
      <alignment horizontal="right"/>
    </xf>
    <xf numFmtId="15" fontId="4" fillId="0" borderId="24" xfId="0" applyNumberFormat="1" applyFont="1" applyBorder="1" applyAlignment="1">
      <alignment horizontal="right"/>
    </xf>
    <xf numFmtId="0" fontId="4" fillId="0" borderId="24" xfId="0" applyFont="1" applyBorder="1"/>
    <xf numFmtId="164" fontId="4" fillId="0" borderId="24" xfId="0" applyNumberFormat="1" applyFont="1" applyBorder="1"/>
    <xf numFmtId="164" fontId="4" fillId="0" borderId="25" xfId="0" applyNumberFormat="1" applyFont="1" applyBorder="1"/>
    <xf numFmtId="164" fontId="3" fillId="0" borderId="11" xfId="0" applyNumberFormat="1" applyFont="1" applyBorder="1"/>
    <xf numFmtId="164" fontId="3" fillId="0" borderId="26" xfId="0" applyNumberFormat="1" applyFont="1" applyBorder="1"/>
    <xf numFmtId="165" fontId="4" fillId="0" borderId="0" xfId="0" applyNumberFormat="1" applyFont="1"/>
    <xf numFmtId="0" fontId="4" fillId="0" borderId="4" xfId="0" applyFont="1" applyBorder="1" applyAlignment="1">
      <alignment vertical="center"/>
    </xf>
    <xf numFmtId="15" fontId="4" fillId="0" borderId="8" xfId="0" applyNumberFormat="1" applyFont="1" applyBorder="1"/>
    <xf numFmtId="164" fontId="4" fillId="0" borderId="27" xfId="0" applyNumberFormat="1" applyFont="1" applyBorder="1"/>
    <xf numFmtId="164" fontId="4" fillId="0" borderId="28" xfId="0" applyNumberFormat="1" applyFont="1" applyBorder="1"/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 wrapText="1"/>
    </xf>
    <xf numFmtId="164" fontId="3" fillId="0" borderId="11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vertical="center"/>
    </xf>
    <xf numFmtId="15" fontId="4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4" fontId="4" fillId="0" borderId="14" xfId="0" applyNumberFormat="1" applyFont="1" applyBorder="1" applyAlignment="1">
      <alignment vertical="center"/>
    </xf>
    <xf numFmtId="0" fontId="3" fillId="0" borderId="29" xfId="0" applyFont="1" applyBorder="1"/>
    <xf numFmtId="0" fontId="3" fillId="0" borderId="30" xfId="0" applyFont="1" applyBorder="1"/>
    <xf numFmtId="164" fontId="3" fillId="0" borderId="30" xfId="0" applyNumberFormat="1" applyFont="1" applyBorder="1"/>
    <xf numFmtId="164" fontId="3" fillId="0" borderId="31" xfId="0" applyNumberFormat="1" applyFont="1" applyBorder="1" applyAlignment="1">
      <alignment horizontal="left" vertical="center"/>
    </xf>
    <xf numFmtId="164" fontId="3" fillId="0" borderId="28" xfId="0" applyNumberFormat="1" applyFont="1" applyBorder="1"/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164" fontId="3" fillId="0" borderId="30" xfId="0" applyNumberFormat="1" applyFont="1" applyBorder="1" applyAlignment="1">
      <alignment vertical="center"/>
    </xf>
    <xf numFmtId="164" fontId="3" fillId="0" borderId="28" xfId="0" applyNumberFormat="1" applyFont="1" applyBorder="1" applyAlignment="1">
      <alignment horizontal="right" vertical="center"/>
    </xf>
    <xf numFmtId="0" fontId="4" fillId="0" borderId="7" xfId="0" applyFont="1" applyBorder="1" applyAlignment="1">
      <alignment horizontal="center"/>
    </xf>
    <xf numFmtId="0" fontId="2" fillId="0" borderId="16" xfId="0" applyFont="1" applyBorder="1"/>
    <xf numFmtId="0" fontId="11" fillId="0" borderId="7" xfId="0" applyFont="1" applyBorder="1" applyAlignment="1">
      <alignment horizontal="center"/>
    </xf>
    <xf numFmtId="0" fontId="2" fillId="0" borderId="8" xfId="0" applyFont="1" applyBorder="1"/>
    <xf numFmtId="0" fontId="4" fillId="0" borderId="35" xfId="0" applyFont="1" applyBorder="1" applyAlignment="1">
      <alignment horizontal="left"/>
    </xf>
    <xf numFmtId="0" fontId="2" fillId="0" borderId="36" xfId="0" applyFont="1" applyBorder="1"/>
    <xf numFmtId="0" fontId="2" fillId="0" borderId="37" xfId="0" applyFont="1" applyBorder="1"/>
    <xf numFmtId="0" fontId="11" fillId="0" borderId="38" xfId="0" applyFont="1" applyBorder="1" applyAlignment="1">
      <alignment horizontal="center"/>
    </xf>
    <xf numFmtId="0" fontId="2" fillId="0" borderId="39" xfId="0" applyFont="1" applyBorder="1"/>
    <xf numFmtId="0" fontId="2" fillId="0" borderId="40" xfId="0" applyFont="1" applyBorder="1"/>
    <xf numFmtId="164" fontId="3" fillId="0" borderId="32" xfId="0" applyNumberFormat="1" applyFont="1" applyBorder="1" applyAlignment="1">
      <alignment horizontal="left" vertical="center"/>
    </xf>
    <xf numFmtId="0" fontId="2" fillId="0" borderId="33" xfId="0" applyFont="1" applyBorder="1"/>
    <xf numFmtId="0" fontId="2" fillId="0" borderId="34" xfId="0" applyFont="1" applyBorder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0" fillId="0" borderId="0" xfId="0"/>
    <xf numFmtId="0" fontId="2" fillId="0" borderId="5" xfId="0" applyFont="1" applyBorder="1"/>
    <xf numFmtId="0" fontId="3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11" xfId="0" applyFont="1" applyBorder="1"/>
    <xf numFmtId="0" fontId="3" fillId="0" borderId="4" xfId="0" applyFont="1" applyBorder="1" applyAlignment="1">
      <alignment horizontal="center"/>
    </xf>
    <xf numFmtId="164" fontId="3" fillId="0" borderId="29" xfId="0" applyNumberFormat="1" applyFont="1" applyBorder="1" applyAlignment="1">
      <alignment horizontal="center"/>
    </xf>
    <xf numFmtId="0" fontId="2" fillId="0" borderId="30" xfId="0" applyFont="1" applyBorder="1"/>
    <xf numFmtId="0" fontId="2" fillId="0" borderId="28" xfId="0" applyFont="1" applyBorder="1"/>
    <xf numFmtId="0" fontId="19" fillId="2" borderId="35" xfId="0" applyFont="1" applyFill="1" applyBorder="1" applyAlignment="1">
      <alignment horizontal="center" vertical="center" wrapText="1"/>
    </xf>
    <xf numFmtId="0" fontId="2" fillId="0" borderId="85" xfId="0" applyFont="1" applyBorder="1"/>
    <xf numFmtId="0" fontId="20" fillId="0" borderId="86" xfId="0" applyFont="1" applyBorder="1" applyAlignment="1">
      <alignment horizontal="center" vertical="center"/>
    </xf>
    <xf numFmtId="4" fontId="20" fillId="0" borderId="86" xfId="0" applyNumberFormat="1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2" fillId="0" borderId="68" xfId="0" applyFont="1" applyBorder="1"/>
    <xf numFmtId="0" fontId="21" fillId="0" borderId="67" xfId="0" applyFont="1" applyBorder="1" applyAlignment="1">
      <alignment horizontal="center" vertical="center"/>
    </xf>
    <xf numFmtId="0" fontId="2" fillId="0" borderId="88" xfId="0" applyFont="1" applyBorder="1"/>
    <xf numFmtId="4" fontId="21" fillId="0" borderId="67" xfId="0" applyNumberFormat="1" applyFont="1" applyBorder="1" applyAlignment="1">
      <alignment horizontal="center" vertical="center"/>
    </xf>
    <xf numFmtId="0" fontId="2" fillId="0" borderId="89" xfId="0" applyFont="1" applyBorder="1"/>
    <xf numFmtId="4" fontId="3" fillId="0" borderId="84" xfId="0" applyNumberFormat="1" applyFont="1" applyBorder="1" applyAlignment="1">
      <alignment horizontal="left" vertical="center"/>
    </xf>
    <xf numFmtId="0" fontId="2" fillId="0" borderId="83" xfId="0" applyFont="1" applyBorder="1"/>
    <xf numFmtId="164" fontId="3" fillId="0" borderId="84" xfId="0" applyNumberFormat="1" applyFont="1" applyBorder="1" applyAlignment="1">
      <alignment horizontal="left" vertical="center"/>
    </xf>
    <xf numFmtId="0" fontId="11" fillId="0" borderId="35" xfId="0" applyFont="1" applyBorder="1" applyAlignment="1">
      <alignment horizontal="center" vertical="center"/>
    </xf>
    <xf numFmtId="0" fontId="4" fillId="0" borderId="86" xfId="0" applyFont="1" applyBorder="1" applyAlignment="1">
      <alignment horizontal="center" vertical="center"/>
    </xf>
    <xf numFmtId="4" fontId="4" fillId="0" borderId="86" xfId="0" applyNumberFormat="1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 wrapText="1"/>
    </xf>
    <xf numFmtId="0" fontId="2" fillId="0" borderId="61" xfId="0" applyFont="1" applyBorder="1"/>
    <xf numFmtId="167" fontId="15" fillId="0" borderId="67" xfId="0" applyNumberFormat="1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4" xfId="0" applyFont="1" applyBorder="1"/>
    <xf numFmtId="0" fontId="2" fillId="0" borderId="4" xfId="0" applyFont="1" applyBorder="1"/>
    <xf numFmtId="0" fontId="2" fillId="0" borderId="7" xfId="0" applyFont="1" applyBorder="1"/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50" xfId="0" applyNumberFormat="1" applyFont="1" applyBorder="1" applyAlignment="1">
      <alignment horizontal="center" vertical="center"/>
    </xf>
    <xf numFmtId="0" fontId="2" fillId="0" borderId="41" xfId="0" applyFont="1" applyBorder="1"/>
    <xf numFmtId="0" fontId="2" fillId="0" borderId="43" xfId="0" applyFont="1" applyBorder="1"/>
    <xf numFmtId="0" fontId="4" fillId="0" borderId="60" xfId="0" applyFont="1" applyBorder="1" applyAlignment="1">
      <alignment horizontal="left" vertical="center" wrapText="1"/>
    </xf>
    <xf numFmtId="0" fontId="4" fillId="0" borderId="60" xfId="0" applyFont="1" applyBorder="1" applyAlignment="1">
      <alignment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/>
    <xf numFmtId="0" fontId="8" fillId="0" borderId="11" xfId="0" applyFont="1" applyBorder="1" applyAlignment="1"/>
    <xf numFmtId="0" fontId="6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161925</xdr:rowOff>
    </xdr:from>
    <xdr:ext cx="2181225" cy="857250"/>
    <xdr:pic>
      <xdr:nvPicPr>
        <xdr:cNvPr id="2" name="image1.png">
          <a:extLst>
            <a:ext uri="{FF2B5EF4-FFF2-40B4-BE49-F238E27FC236}">
              <a16:creationId xmlns:a16="http://schemas.microsoft.com/office/drawing/2014/main" id="{C1E5BFB6-D135-4A1E-A75E-8E2561048F0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161925"/>
          <a:ext cx="2181225" cy="8572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1</xdr:row>
      <xdr:rowOff>9525</xdr:rowOff>
    </xdr:from>
    <xdr:ext cx="2066925" cy="561975"/>
    <xdr:pic>
      <xdr:nvPicPr>
        <xdr:cNvPr id="2" name="image1.png">
          <a:extLst>
            <a:ext uri="{FF2B5EF4-FFF2-40B4-BE49-F238E27FC236}">
              <a16:creationId xmlns:a16="http://schemas.microsoft.com/office/drawing/2014/main" id="{D8604FF3-3E2E-4E4C-9496-AE793A3693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9075" y="247650"/>
          <a:ext cx="2066925" cy="56197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egeactl-my.sharepoint.com/personal/victor_morbach_corsan_com_br/Documents/4C%20SMS%20-%20AUTOMA&#199;&#195;O.xlsx" TargetMode="External"/><Relationship Id="rId1" Type="http://schemas.openxmlformats.org/officeDocument/2006/relationships/externalLinkPath" Target="https://aegeactl-my.sharepoint.com/personal/victor_morbach_corsan_com_br/Documents/4C%20SMS%20-%20AUTOMA&#199;&#195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  <sheetName val="Teste"/>
      <sheetName val="12-24 PROTOCOLO"/>
      <sheetName val="12-24 BOLETIM"/>
      <sheetName val="01-25 PROTOCOLO"/>
      <sheetName val="01-25 BOLETIM"/>
      <sheetName val="02-25 PROTOCOLO"/>
      <sheetName val="02-25 BOLETIM"/>
      <sheetName val="03-25 PROTOCOLO"/>
      <sheetName val="03-25 BOLETIM"/>
      <sheetName val="04-25 PROTOCOLO"/>
      <sheetName val="04-25 BOLETIM"/>
      <sheetName val="05-25 PROTOCOLO"/>
      <sheetName val="05-25 BOLETIM"/>
      <sheetName val="06-25 PROTOCOLO"/>
      <sheetName val="06-25 BOLETIM"/>
      <sheetName val="07-25 PROTOCOLO"/>
      <sheetName val="07-25 BOLETIM"/>
      <sheetName val="08-25 PROTOCOLO"/>
      <sheetName val="08-25 BOLETIM"/>
      <sheetName val="09-25 PROTOCOLO"/>
      <sheetName val="09-25 BOLETIM"/>
      <sheetName val="10-25 PROTOCOLO"/>
      <sheetName val="10-25 BOLETIM"/>
      <sheetName val="11-25 PROTOCOLO"/>
      <sheetName val="11-25 BOLETIM"/>
      <sheetName val="12-25 PROTOCOLO"/>
      <sheetName val="12-25 BOLETIM"/>
      <sheetName val="01-26 PROTOCOLO"/>
      <sheetName val="01-26 BOLETIM"/>
      <sheetName val="02-26 PROTOCOLO"/>
      <sheetName val="02-26 BOLETIM"/>
    </sheetNames>
    <sheetDataSet>
      <sheetData sheetId="0">
        <row r="1">
          <cell r="A1" t="str">
            <v>Coluna1</v>
          </cell>
          <cell r="B1" t="str">
            <v>Coluna2</v>
          </cell>
          <cell r="C1" t="str">
            <v>Coluna3</v>
          </cell>
          <cell r="D1" t="str">
            <v>Coluna4</v>
          </cell>
          <cell r="E1" t="str">
            <v>Coluna5</v>
          </cell>
          <cell r="F1" t="str">
            <v>Coluna6</v>
          </cell>
          <cell r="G1" t="str">
            <v>Coluna7</v>
          </cell>
        </row>
        <row r="2">
          <cell r="A2" t="str">
            <v>CONTRATO</v>
          </cell>
          <cell r="B2" t="str">
            <v>SERVIÇO</v>
          </cell>
          <cell r="C2" t="str">
            <v>EMPRESA</v>
          </cell>
          <cell r="D2" t="str">
            <v>PERIODO</v>
          </cell>
          <cell r="E2" t="str">
            <v>MÊS EXECUÇÃO</v>
          </cell>
          <cell r="F2" t="str">
            <v>DATA APRESENTAÇÃO MEDIÇÃO</v>
          </cell>
          <cell r="G2" t="str">
            <v>VALOR TOTAL DA MEDIÇÃO</v>
          </cell>
        </row>
        <row r="3">
          <cell r="F3"/>
        </row>
        <row r="4">
          <cell r="D4"/>
          <cell r="F4"/>
        </row>
        <row r="5">
          <cell r="D5"/>
          <cell r="F5"/>
        </row>
        <row r="6">
          <cell r="D6"/>
          <cell r="F6"/>
        </row>
        <row r="7">
          <cell r="D7"/>
          <cell r="F7"/>
        </row>
        <row r="8">
          <cell r="D8"/>
          <cell r="F8"/>
        </row>
        <row r="9">
          <cell r="D9"/>
          <cell r="F9"/>
        </row>
        <row r="10">
          <cell r="D10"/>
          <cell r="F10"/>
        </row>
        <row r="11">
          <cell r="D11"/>
          <cell r="F11"/>
        </row>
        <row r="12">
          <cell r="D12"/>
          <cell r="F12"/>
        </row>
        <row r="13">
          <cell r="D13"/>
          <cell r="F13"/>
        </row>
        <row r="14">
          <cell r="D14"/>
          <cell r="F14"/>
        </row>
        <row r="15">
          <cell r="D15"/>
          <cell r="F15"/>
        </row>
        <row r="16">
          <cell r="D16"/>
          <cell r="F16"/>
        </row>
        <row r="17">
          <cell r="D17"/>
          <cell r="F17"/>
        </row>
        <row r="18">
          <cell r="D18"/>
          <cell r="F18"/>
        </row>
        <row r="19">
          <cell r="D19"/>
          <cell r="F19"/>
        </row>
        <row r="20">
          <cell r="D20"/>
          <cell r="F20"/>
        </row>
        <row r="21">
          <cell r="D21"/>
          <cell r="F21"/>
        </row>
        <row r="22">
          <cell r="D22"/>
          <cell r="F22"/>
        </row>
        <row r="23">
          <cell r="D23"/>
          <cell r="F23"/>
        </row>
        <row r="24">
          <cell r="D24"/>
          <cell r="F24"/>
        </row>
        <row r="25">
          <cell r="D25"/>
          <cell r="F25"/>
        </row>
        <row r="26">
          <cell r="D26"/>
          <cell r="F26"/>
        </row>
        <row r="27">
          <cell r="D27"/>
          <cell r="F27"/>
        </row>
        <row r="28">
          <cell r="D28"/>
          <cell r="F28"/>
        </row>
        <row r="29">
          <cell r="D29"/>
          <cell r="F29"/>
        </row>
        <row r="30">
          <cell r="D30"/>
          <cell r="F30"/>
        </row>
        <row r="31">
          <cell r="D31"/>
          <cell r="F31"/>
        </row>
        <row r="32">
          <cell r="D32"/>
          <cell r="F32"/>
        </row>
        <row r="33">
          <cell r="D33"/>
          <cell r="F33"/>
        </row>
        <row r="34">
          <cell r="D34"/>
          <cell r="F34"/>
        </row>
        <row r="35">
          <cell r="D35"/>
          <cell r="F35"/>
        </row>
        <row r="36">
          <cell r="D36"/>
          <cell r="F36"/>
        </row>
        <row r="37">
          <cell r="D37"/>
          <cell r="F37"/>
        </row>
      </sheetData>
      <sheetData sheetId="1"/>
      <sheetData sheetId="2">
        <row r="8">
          <cell r="B8" t="str">
            <v>4C DIGITAL</v>
          </cell>
        </row>
        <row r="9">
          <cell r="H9" t="str">
            <v>Unitário</v>
          </cell>
        </row>
        <row r="11">
          <cell r="B11">
            <v>45533</v>
          </cell>
        </row>
        <row r="18">
          <cell r="H18">
            <v>1864800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2">
          <cell r="B12" t="str">
            <v>01/01 A 31/01/2026</v>
          </cell>
        </row>
      </sheetData>
      <sheetData sheetId="29"/>
      <sheetData sheetId="30">
        <row r="28">
          <cell r="H28">
            <v>1838241.6700000002</v>
          </cell>
        </row>
        <row r="44">
          <cell r="H44">
            <v>114691.46</v>
          </cell>
        </row>
      </sheetData>
      <sheetData sheetId="3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20246-CE47-46F3-8694-0C3236037987}">
  <sheetPr>
    <pageSetUpPr fitToPage="1"/>
  </sheetPr>
  <dimension ref="A1:AB1008"/>
  <sheetViews>
    <sheetView showGridLines="0" workbookViewId="0">
      <selection activeCell="D12" sqref="D12"/>
    </sheetView>
  </sheetViews>
  <sheetFormatPr defaultColWidth="12.5703125" defaultRowHeight="15" customHeight="1" x14ac:dyDescent="0.2"/>
  <cols>
    <col min="1" max="1" width="28.5703125" customWidth="1"/>
    <col min="2" max="2" width="29.85546875" customWidth="1"/>
    <col min="3" max="3" width="15.7109375" customWidth="1"/>
    <col min="4" max="4" width="19.140625" customWidth="1"/>
    <col min="5" max="6" width="15.7109375" customWidth="1"/>
    <col min="7" max="7" width="19.28515625" customWidth="1"/>
    <col min="8" max="8" width="17.140625" customWidth="1"/>
    <col min="9" max="9" width="17.28515625" customWidth="1"/>
    <col min="10" max="10" width="16.7109375" customWidth="1"/>
    <col min="11" max="28" width="11.42578125" customWidth="1"/>
  </cols>
  <sheetData>
    <row r="1" spans="1:28" ht="20.25" customHeight="1" x14ac:dyDescent="0.2">
      <c r="A1" s="117"/>
      <c r="B1" s="220" t="s">
        <v>0</v>
      </c>
      <c r="C1" s="221"/>
      <c r="D1" s="221"/>
      <c r="E1" s="221"/>
      <c r="F1" s="222"/>
      <c r="G1" s="226" t="s">
        <v>1</v>
      </c>
      <c r="H1" s="22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" customHeight="1" x14ac:dyDescent="0.2">
      <c r="A2" s="118"/>
      <c r="B2" s="223"/>
      <c r="C2" s="224"/>
      <c r="D2" s="224"/>
      <c r="E2" s="224"/>
      <c r="F2" s="225"/>
      <c r="G2" s="223"/>
      <c r="H2" s="22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3.25" customHeight="1" x14ac:dyDescent="0.2">
      <c r="A3" s="119"/>
      <c r="B3" s="268" t="s">
        <v>2</v>
      </c>
      <c r="C3" s="268"/>
      <c r="D3" s="267">
        <v>4600072112</v>
      </c>
      <c r="E3" s="267"/>
      <c r="F3" s="120"/>
      <c r="G3" s="227" t="s">
        <v>3</v>
      </c>
      <c r="H3" s="22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2" customHeight="1" x14ac:dyDescent="0.2">
      <c r="A4" s="119"/>
      <c r="B4" s="267"/>
      <c r="C4" s="267"/>
      <c r="D4" s="267"/>
      <c r="E4" s="267"/>
      <c r="F4" s="120"/>
      <c r="G4" s="227" t="s">
        <v>4</v>
      </c>
      <c r="H4" s="22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2" customHeight="1" thickBot="1" x14ac:dyDescent="0.25">
      <c r="A5" s="121"/>
      <c r="B5" s="122"/>
      <c r="C5" s="122"/>
      <c r="D5" s="122"/>
      <c r="E5" s="122"/>
      <c r="F5" s="123"/>
      <c r="G5" s="228" t="s">
        <v>5</v>
      </c>
      <c r="H5" s="2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28.5" customHeight="1" x14ac:dyDescent="0.3">
      <c r="A6" s="229" t="s">
        <v>6</v>
      </c>
      <c r="B6" s="223"/>
      <c r="C6" s="223"/>
      <c r="D6" s="223"/>
      <c r="E6" s="223"/>
      <c r="F6" s="223"/>
      <c r="G6" s="223"/>
      <c r="H6" s="23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9.5" customHeight="1" x14ac:dyDescent="0.3">
      <c r="B7" s="269"/>
      <c r="C7" s="271" t="s">
        <v>7</v>
      </c>
      <c r="D7" s="269"/>
      <c r="E7" s="269"/>
      <c r="F7" s="269"/>
      <c r="G7" s="269"/>
      <c r="H7" s="27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customHeight="1" x14ac:dyDescent="0.25">
      <c r="A8" s="124" t="s">
        <v>8</v>
      </c>
      <c r="B8" s="125" t="s">
        <v>9</v>
      </c>
      <c r="C8" s="126"/>
      <c r="D8" s="1"/>
      <c r="E8" s="1"/>
      <c r="F8" s="1"/>
      <c r="G8" s="127"/>
      <c r="H8" s="12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3.5" customHeight="1" x14ac:dyDescent="0.2">
      <c r="A9" s="124" t="s">
        <v>10</v>
      </c>
      <c r="B9" s="129">
        <v>4600072112</v>
      </c>
      <c r="C9" s="1"/>
      <c r="D9" s="1"/>
      <c r="E9" s="1"/>
      <c r="F9" s="1"/>
      <c r="G9" s="130" t="s">
        <v>11</v>
      </c>
      <c r="H9" s="131" t="s">
        <v>12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3.5" customHeight="1" x14ac:dyDescent="0.2">
      <c r="A10" s="124" t="s">
        <v>13</v>
      </c>
      <c r="B10" s="132" t="s">
        <v>14</v>
      </c>
      <c r="C10" s="1"/>
      <c r="D10" s="133"/>
      <c r="E10" s="1"/>
      <c r="F10" s="1"/>
      <c r="G10" s="130"/>
      <c r="H10" s="13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3.5" customHeight="1" thickBot="1" x14ac:dyDescent="0.25">
      <c r="A11" s="124" t="s">
        <v>15</v>
      </c>
      <c r="B11" s="135">
        <v>45533</v>
      </c>
      <c r="C11" s="136"/>
      <c r="D11" s="1"/>
      <c r="E11" s="1"/>
      <c r="F11" s="1"/>
      <c r="G11" s="127"/>
      <c r="H11" s="128" t="s">
        <v>16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3.5" customHeight="1" thickBot="1" x14ac:dyDescent="0.25">
      <c r="A12" s="137" t="s">
        <v>17</v>
      </c>
      <c r="B12" s="129" t="s">
        <v>18</v>
      </c>
      <c r="C12" s="138"/>
      <c r="D12" s="139"/>
      <c r="E12" s="139"/>
      <c r="F12" s="139"/>
      <c r="G12" s="140" t="s">
        <v>19</v>
      </c>
      <c r="H12" s="141">
        <v>45898</v>
      </c>
      <c r="I12" s="14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.75" customHeight="1" x14ac:dyDescent="0.2">
      <c r="A13" s="143"/>
      <c r="B13" s="138"/>
      <c r="C13" s="138"/>
      <c r="D13" s="138"/>
      <c r="E13" s="138"/>
      <c r="F13" s="138"/>
      <c r="G13" s="144"/>
      <c r="H13" s="13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2.75" customHeight="1" x14ac:dyDescent="0.2">
      <c r="A14" s="145" t="s">
        <v>20</v>
      </c>
      <c r="B14" s="146"/>
      <c r="C14" s="146" t="s">
        <v>21</v>
      </c>
      <c r="D14" s="146"/>
      <c r="E14" s="147"/>
      <c r="F14" s="138"/>
      <c r="G14" s="126" t="s">
        <v>22</v>
      </c>
      <c r="H14" s="131"/>
      <c r="I14" s="14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2.75" customHeight="1" x14ac:dyDescent="0.2">
      <c r="A15" s="145" t="s">
        <v>23</v>
      </c>
      <c r="B15" s="146"/>
      <c r="C15" s="146">
        <f>INDEX([1]Planilha1!A:G,3,6)</f>
        <v>0</v>
      </c>
      <c r="D15" s="146"/>
      <c r="E15" s="148"/>
      <c r="F15" s="138"/>
      <c r="G15" s="144"/>
      <c r="H15" s="13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3.5" customHeight="1" thickBot="1" x14ac:dyDescent="0.25">
      <c r="A16" s="149"/>
      <c r="B16" s="1"/>
      <c r="C16" s="1"/>
      <c r="D16" s="1"/>
      <c r="E16" s="1"/>
      <c r="F16" s="1"/>
      <c r="G16" s="127"/>
      <c r="H16" s="128"/>
      <c r="I16" s="14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3.5" customHeight="1" thickBot="1" x14ac:dyDescent="0.25">
      <c r="A17" s="150" t="s">
        <v>24</v>
      </c>
      <c r="B17" s="151"/>
      <c r="C17" s="151"/>
      <c r="D17" s="151"/>
      <c r="E17" s="151"/>
      <c r="F17" s="151"/>
      <c r="G17" s="152"/>
      <c r="H17" s="153">
        <v>1864800</v>
      </c>
      <c r="I17" s="12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customHeight="1" x14ac:dyDescent="0.2">
      <c r="A18" s="124"/>
      <c r="B18" s="129" t="s">
        <v>25</v>
      </c>
      <c r="C18" s="1"/>
      <c r="D18" s="1"/>
      <c r="E18" s="1"/>
      <c r="F18" s="1"/>
      <c r="G18" s="127"/>
      <c r="H18" s="128">
        <v>1864800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3.5" customHeight="1" thickBot="1" x14ac:dyDescent="0.25">
      <c r="A19" s="121"/>
      <c r="B19" s="154"/>
      <c r="C19" s="155"/>
      <c r="D19" s="155"/>
      <c r="E19" s="155"/>
      <c r="F19" s="155"/>
      <c r="G19" s="156"/>
      <c r="H19" s="157"/>
      <c r="I19" s="1"/>
      <c r="J19" s="12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3.5" customHeight="1" thickBot="1" x14ac:dyDescent="0.25">
      <c r="A20" s="150" t="s">
        <v>26</v>
      </c>
      <c r="B20" s="151"/>
      <c r="C20" s="151"/>
      <c r="D20" s="151"/>
      <c r="E20" s="151"/>
      <c r="F20" s="151"/>
      <c r="G20" s="152"/>
      <c r="H20" s="153">
        <f>SUM(H21)</f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 customHeight="1" x14ac:dyDescent="0.2">
      <c r="A21" s="158" t="s">
        <v>27</v>
      </c>
      <c r="B21" s="1"/>
      <c r="C21" s="1"/>
      <c r="D21" s="1"/>
      <c r="E21" s="1"/>
      <c r="F21" s="1"/>
      <c r="G21" s="1"/>
      <c r="H21" s="15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3.5" customHeight="1" thickBot="1" x14ac:dyDescent="0.25">
      <c r="A22" s="160"/>
      <c r="B22" s="1"/>
      <c r="C22" s="1"/>
      <c r="D22" s="1"/>
      <c r="E22" s="161"/>
      <c r="F22" s="161"/>
      <c r="G22" s="127"/>
      <c r="H22" s="12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3.5" customHeight="1" thickBot="1" x14ac:dyDescent="0.25">
      <c r="A23" s="150" t="s">
        <v>28</v>
      </c>
      <c r="B23" s="151"/>
      <c r="C23" s="151"/>
      <c r="D23" s="151"/>
      <c r="E23" s="151"/>
      <c r="F23" s="151"/>
      <c r="G23" s="152"/>
      <c r="H23" s="153">
        <f>SUM(H25)</f>
        <v>1864800</v>
      </c>
      <c r="I23" s="161"/>
      <c r="J23" s="1"/>
      <c r="K23" s="1"/>
      <c r="L23" s="1"/>
      <c r="M23" s="1"/>
      <c r="N23" s="1"/>
      <c r="O23" s="162"/>
      <c r="P23" s="162"/>
      <c r="Q23" s="161"/>
      <c r="R23" s="1"/>
      <c r="S23" s="1"/>
      <c r="T23" s="1"/>
      <c r="U23" s="1"/>
      <c r="V23" s="1"/>
      <c r="W23" s="162"/>
      <c r="X23" s="162"/>
      <c r="Y23" s="161"/>
      <c r="Z23" s="1"/>
      <c r="AA23" s="1"/>
      <c r="AB23" s="1"/>
    </row>
    <row r="24" spans="1:28" ht="12.75" customHeight="1" x14ac:dyDescent="0.2">
      <c r="A24" s="158"/>
      <c r="B24" s="1"/>
      <c r="C24" s="1"/>
      <c r="D24" s="1"/>
      <c r="E24" s="1"/>
      <c r="F24" s="1"/>
      <c r="G24" s="1"/>
      <c r="H24" s="163"/>
      <c r="I24" s="164"/>
      <c r="J24" s="1"/>
      <c r="K24" s="1"/>
      <c r="L24" s="1"/>
      <c r="M24" s="1"/>
      <c r="N24" s="1"/>
      <c r="O24" s="1"/>
      <c r="P24" s="1"/>
      <c r="Q24" s="164"/>
      <c r="R24" s="1"/>
      <c r="S24" s="1"/>
      <c r="T24" s="1"/>
      <c r="U24" s="1"/>
      <c r="V24" s="1"/>
      <c r="W24" s="1"/>
      <c r="X24" s="1"/>
      <c r="Y24" s="164"/>
      <c r="Z24" s="1"/>
      <c r="AA24" s="1"/>
      <c r="AB24" s="1"/>
    </row>
    <row r="25" spans="1:28" ht="12.75" customHeight="1" x14ac:dyDescent="0.2">
      <c r="A25" s="149"/>
      <c r="B25" s="1"/>
      <c r="C25" s="1"/>
      <c r="D25" s="1"/>
      <c r="E25" s="161"/>
      <c r="F25" s="161"/>
      <c r="G25" s="127"/>
      <c r="H25" s="128">
        <f>H18</f>
        <v>1864800</v>
      </c>
      <c r="I25" s="165"/>
      <c r="J25" s="1"/>
      <c r="K25" s="1"/>
      <c r="L25" s="1"/>
      <c r="M25" s="161"/>
      <c r="N25" s="161"/>
      <c r="O25" s="127"/>
      <c r="P25" s="127"/>
      <c r="Q25" s="165"/>
      <c r="R25" s="1"/>
      <c r="S25" s="1"/>
      <c r="T25" s="1"/>
      <c r="U25" s="161"/>
      <c r="V25" s="161"/>
      <c r="W25" s="127"/>
      <c r="X25" s="127"/>
      <c r="Y25" s="165"/>
      <c r="Z25" s="1"/>
      <c r="AA25" s="1"/>
      <c r="AB25" s="1"/>
    </row>
    <row r="26" spans="1:28" ht="10.5" customHeight="1" x14ac:dyDescent="0.2">
      <c r="A26" s="149"/>
      <c r="B26" s="165"/>
      <c r="C26" s="165"/>
      <c r="D26" s="1"/>
      <c r="E26" s="161"/>
      <c r="F26" s="161"/>
      <c r="G26" s="127"/>
      <c r="H26" s="128"/>
      <c r="I26" s="1"/>
      <c r="J26" s="165"/>
      <c r="K26" s="165"/>
      <c r="L26" s="1"/>
      <c r="M26" s="161"/>
      <c r="N26" s="161"/>
      <c r="O26" s="127"/>
      <c r="P26" s="127"/>
      <c r="Q26" s="1"/>
      <c r="R26" s="165"/>
      <c r="S26" s="165"/>
      <c r="T26" s="1"/>
      <c r="U26" s="161"/>
      <c r="V26" s="161"/>
      <c r="W26" s="127"/>
      <c r="X26" s="127"/>
      <c r="Y26" s="1"/>
      <c r="Z26" s="165"/>
      <c r="AA26" s="165"/>
      <c r="AB26" s="1"/>
    </row>
    <row r="27" spans="1:28" ht="6.75" customHeight="1" thickBot="1" x14ac:dyDescent="0.25">
      <c r="A27" s="149"/>
      <c r="B27" s="133"/>
      <c r="C27" s="133"/>
      <c r="D27" s="1"/>
      <c r="E27" s="1"/>
      <c r="F27" s="1"/>
      <c r="G27" s="127"/>
      <c r="H27" s="128"/>
      <c r="I27" s="1"/>
      <c r="J27" s="133"/>
      <c r="K27" s="133"/>
      <c r="L27" s="1"/>
      <c r="M27" s="1"/>
      <c r="N27" s="1"/>
      <c r="O27" s="127"/>
      <c r="P27" s="127"/>
      <c r="Q27" s="1"/>
      <c r="R27" s="133"/>
      <c r="S27" s="133"/>
      <c r="T27" s="1"/>
      <c r="U27" s="1"/>
      <c r="V27" s="1"/>
      <c r="W27" s="127"/>
      <c r="X27" s="127"/>
      <c r="Y27" s="1"/>
      <c r="Z27" s="133"/>
      <c r="AA27" s="133"/>
      <c r="AB27" s="1"/>
    </row>
    <row r="28" spans="1:28" ht="13.5" customHeight="1" thickBot="1" x14ac:dyDescent="0.25">
      <c r="A28" s="166" t="s">
        <v>29</v>
      </c>
      <c r="B28" s="167"/>
      <c r="C28" s="167"/>
      <c r="D28" s="167"/>
      <c r="E28" s="167"/>
      <c r="F28" s="167"/>
      <c r="G28" s="168"/>
      <c r="H28" s="169">
        <f>SUM(H30:H43)</f>
        <v>1838241.6700000002</v>
      </c>
      <c r="I28" s="127"/>
      <c r="J28" s="12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customHeight="1" x14ac:dyDescent="0.2">
      <c r="A29" s="170" t="s">
        <v>30</v>
      </c>
      <c r="B29" s="147" t="s">
        <v>31</v>
      </c>
      <c r="C29" s="147"/>
      <c r="D29" s="146"/>
      <c r="E29" s="146"/>
      <c r="F29" s="146"/>
      <c r="G29" s="171"/>
      <c r="H29" s="172"/>
      <c r="I29" s="146"/>
      <c r="J29" s="171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</row>
    <row r="30" spans="1:28" ht="12.75" customHeight="1" x14ac:dyDescent="0.2">
      <c r="A30" s="173"/>
      <c r="B30" s="139"/>
      <c r="C30" s="139"/>
      <c r="D30" s="1" t="s">
        <v>32</v>
      </c>
      <c r="E30" s="1"/>
      <c r="F30" s="1"/>
      <c r="G30" s="127"/>
      <c r="H30" s="174">
        <v>46220.86</v>
      </c>
      <c r="I30" s="127"/>
      <c r="J30" s="12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customHeight="1" x14ac:dyDescent="0.2">
      <c r="A31" s="173"/>
      <c r="B31" s="139"/>
      <c r="C31" s="139"/>
      <c r="D31" s="1" t="s">
        <v>33</v>
      </c>
      <c r="E31" s="1"/>
      <c r="F31" s="1"/>
      <c r="G31" s="127"/>
      <c r="H31" s="175">
        <v>105391.57</v>
      </c>
      <c r="I31" s="127"/>
      <c r="J31" s="12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customHeight="1" x14ac:dyDescent="0.2">
      <c r="A32" s="173"/>
      <c r="B32" s="139"/>
      <c r="C32" s="139"/>
      <c r="D32" s="1" t="s">
        <v>34</v>
      </c>
      <c r="E32" s="1"/>
      <c r="F32" s="1"/>
      <c r="G32" s="127"/>
      <c r="H32" s="175">
        <v>198231.84</v>
      </c>
      <c r="I32" s="127"/>
      <c r="J32" s="12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customHeight="1" x14ac:dyDescent="0.2">
      <c r="A33" s="173"/>
      <c r="B33" s="139"/>
      <c r="C33" s="139"/>
      <c r="D33" s="1" t="s">
        <v>35</v>
      </c>
      <c r="E33" s="1"/>
      <c r="F33" s="1"/>
      <c r="G33" s="127"/>
      <c r="H33" s="175">
        <v>165556.24</v>
      </c>
      <c r="I33" s="127"/>
      <c r="J33" s="12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customHeight="1" x14ac:dyDescent="0.2">
      <c r="A34" s="173"/>
      <c r="B34" s="139"/>
      <c r="C34" s="139"/>
      <c r="D34" s="1" t="s">
        <v>36</v>
      </c>
      <c r="E34" s="1"/>
      <c r="F34" s="1"/>
      <c r="G34" s="127"/>
      <c r="H34" s="175">
        <v>190893.25</v>
      </c>
      <c r="I34" s="127"/>
      <c r="J34" s="12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customHeight="1" x14ac:dyDescent="0.2">
      <c r="A35" s="173"/>
      <c r="B35" s="139"/>
      <c r="C35" s="139"/>
      <c r="D35" s="1" t="s">
        <v>37</v>
      </c>
      <c r="E35" s="1"/>
      <c r="F35" s="1"/>
      <c r="G35" s="127"/>
      <c r="H35" s="174">
        <v>96607.99</v>
      </c>
      <c r="I35" s="127"/>
      <c r="J35" s="12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customHeight="1" x14ac:dyDescent="0.2">
      <c r="A36" s="173"/>
      <c r="B36" s="139"/>
      <c r="C36" s="139"/>
      <c r="D36" s="1" t="s">
        <v>38</v>
      </c>
      <c r="E36" s="1"/>
      <c r="F36" s="1"/>
      <c r="G36" s="127"/>
      <c r="H36" s="174">
        <v>77014.87</v>
      </c>
      <c r="I36" s="127"/>
      <c r="J36" s="12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customHeight="1" x14ac:dyDescent="0.2">
      <c r="A37" s="173"/>
      <c r="B37" s="139"/>
      <c r="C37" s="139"/>
      <c r="D37" s="1" t="s">
        <v>39</v>
      </c>
      <c r="E37" s="1"/>
      <c r="F37" s="1"/>
      <c r="G37" s="127"/>
      <c r="H37" s="174">
        <v>86345.12</v>
      </c>
      <c r="I37" s="127"/>
      <c r="J37" s="12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customHeight="1" x14ac:dyDescent="0.2">
      <c r="A38" s="173"/>
      <c r="B38" s="139"/>
      <c r="C38" s="139"/>
      <c r="D38" s="1" t="s">
        <v>40</v>
      </c>
      <c r="E38" s="1"/>
      <c r="F38" s="1"/>
      <c r="G38" s="127"/>
      <c r="H38" s="174">
        <v>174457.76</v>
      </c>
      <c r="I38" s="127"/>
      <c r="J38" s="12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" customHeight="1" x14ac:dyDescent="0.2">
      <c r="A39" s="176"/>
      <c r="D39" s="1" t="s">
        <v>41</v>
      </c>
      <c r="H39" s="177">
        <v>163233.62</v>
      </c>
    </row>
    <row r="40" spans="1:28" ht="12.75" customHeight="1" x14ac:dyDescent="0.2">
      <c r="A40" s="173"/>
      <c r="B40" s="139"/>
      <c r="C40" s="139"/>
      <c r="D40" s="1" t="s">
        <v>42</v>
      </c>
      <c r="E40" s="1"/>
      <c r="F40" s="1"/>
      <c r="G40" s="127"/>
      <c r="H40" s="174">
        <v>139001.82999999999</v>
      </c>
      <c r="I40" s="127"/>
      <c r="J40" s="12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customHeight="1" x14ac:dyDescent="0.2">
      <c r="A41" s="173"/>
      <c r="B41" s="139"/>
      <c r="C41" s="139"/>
      <c r="D41" s="1" t="s">
        <v>43</v>
      </c>
      <c r="E41" s="1"/>
      <c r="F41" s="1"/>
      <c r="G41" s="127"/>
      <c r="H41" s="174">
        <v>130574.36</v>
      </c>
      <c r="I41" s="127"/>
      <c r="J41" s="12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 x14ac:dyDescent="0.2">
      <c r="A42" s="173"/>
      <c r="B42" s="139"/>
      <c r="C42" s="139"/>
      <c r="D42" s="1" t="s">
        <v>44</v>
      </c>
      <c r="E42" s="1"/>
      <c r="F42" s="1"/>
      <c r="G42" s="127"/>
      <c r="H42" s="174">
        <v>128767.89</v>
      </c>
      <c r="I42" s="127"/>
      <c r="J42" s="12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 x14ac:dyDescent="0.2">
      <c r="A43" s="173"/>
      <c r="B43" s="139"/>
      <c r="C43" s="139"/>
      <c r="D43" s="1" t="s">
        <v>45</v>
      </c>
      <c r="E43" s="1"/>
      <c r="F43" s="1"/>
      <c r="G43" s="127"/>
      <c r="H43" s="174">
        <v>135944.47</v>
      </c>
      <c r="I43" s="127"/>
      <c r="J43" s="12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customHeight="1" x14ac:dyDescent="0.2">
      <c r="A44" s="173"/>
      <c r="B44" s="139"/>
      <c r="C44" s="139"/>
      <c r="D44" s="1" t="s">
        <v>46</v>
      </c>
      <c r="E44" s="1"/>
      <c r="F44" s="1"/>
      <c r="G44" s="127"/>
      <c r="H44" s="174">
        <v>114691.46</v>
      </c>
      <c r="I44" s="127"/>
      <c r="J44" s="12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3.5" customHeight="1" thickBot="1" x14ac:dyDescent="0.25">
      <c r="A45" s="178"/>
      <c r="B45" s="179"/>
      <c r="C45" s="179"/>
      <c r="D45" s="180"/>
      <c r="E45" s="180"/>
      <c r="F45" s="180"/>
      <c r="G45" s="181"/>
      <c r="H45" s="18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3.5" customHeight="1" thickBot="1" x14ac:dyDescent="0.25">
      <c r="A46" s="124" t="s">
        <v>47</v>
      </c>
      <c r="B46" s="1"/>
      <c r="C46" s="1"/>
      <c r="D46" s="1"/>
      <c r="E46" s="1"/>
      <c r="F46" s="1"/>
      <c r="G46" s="183"/>
      <c r="H46" s="184">
        <f>SUM(H48:H49)</f>
        <v>0</v>
      </c>
      <c r="I46" s="185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 x14ac:dyDescent="0.2">
      <c r="A47" s="124"/>
      <c r="B47" s="1"/>
      <c r="C47" s="1"/>
      <c r="D47" s="1"/>
      <c r="E47" s="1"/>
      <c r="F47" s="1"/>
      <c r="G47" s="162"/>
      <c r="H47" s="183"/>
      <c r="I47" s="18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 x14ac:dyDescent="0.2">
      <c r="A48" s="186"/>
      <c r="B48" s="1"/>
      <c r="C48" s="1"/>
      <c r="D48" s="1"/>
      <c r="E48" s="1"/>
      <c r="F48" s="1"/>
      <c r="G48" s="162"/>
      <c r="H48" s="13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 x14ac:dyDescent="0.2">
      <c r="A49" s="186"/>
      <c r="B49" s="1"/>
      <c r="C49" s="1"/>
      <c r="D49" s="1"/>
      <c r="E49" s="1"/>
      <c r="F49" s="1"/>
      <c r="G49" s="162"/>
      <c r="H49" s="13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3.5" customHeight="1" thickBot="1" x14ac:dyDescent="0.25">
      <c r="A50" s="121"/>
      <c r="B50" s="187"/>
      <c r="C50" s="187"/>
      <c r="D50" s="155"/>
      <c r="E50" s="155"/>
      <c r="F50" s="155"/>
      <c r="G50" s="156"/>
      <c r="H50" s="15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3.5" customHeight="1" thickBot="1" x14ac:dyDescent="0.25">
      <c r="A51" s="150" t="s">
        <v>48</v>
      </c>
      <c r="B51" s="151"/>
      <c r="C51" s="151"/>
      <c r="D51" s="151"/>
      <c r="E51" s="188">
        <f t="shared" ref="E51:H51" si="0">C51</f>
        <v>0</v>
      </c>
      <c r="F51" s="189">
        <f t="shared" si="0"/>
        <v>0</v>
      </c>
      <c r="G51" s="189">
        <f t="shared" si="0"/>
        <v>0</v>
      </c>
      <c r="H51" s="189">
        <f t="shared" si="0"/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30" customHeight="1" x14ac:dyDescent="0.2">
      <c r="A52" s="27" t="s">
        <v>49</v>
      </c>
      <c r="B52" s="147" t="s">
        <v>50</v>
      </c>
      <c r="C52" s="147"/>
      <c r="D52" s="146"/>
      <c r="E52" s="164" t="s">
        <v>51</v>
      </c>
      <c r="F52" s="190"/>
      <c r="G52" s="191" t="s">
        <v>52</v>
      </c>
      <c r="H52" s="192" t="s">
        <v>53</v>
      </c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</row>
    <row r="53" spans="1:28" ht="12.75" customHeight="1" thickBot="1" x14ac:dyDescent="0.25">
      <c r="A53" s="186"/>
      <c r="B53" s="1"/>
      <c r="C53" s="1"/>
      <c r="D53" s="1"/>
      <c r="E53" s="1"/>
      <c r="F53" s="1"/>
      <c r="G53" s="162"/>
      <c r="H53" s="131"/>
      <c r="I53" s="115"/>
      <c r="J53" s="193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</row>
    <row r="54" spans="1:28" ht="12.75" customHeight="1" x14ac:dyDescent="0.2">
      <c r="A54" s="150" t="s">
        <v>54</v>
      </c>
      <c r="B54" s="194"/>
      <c r="C54" s="194"/>
      <c r="D54" s="195"/>
      <c r="E54" s="195"/>
      <c r="F54" s="195"/>
      <c r="G54" s="196"/>
      <c r="H54" s="197"/>
      <c r="I54" s="115"/>
      <c r="J54" s="193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</row>
    <row r="55" spans="1:28" ht="45.75" customHeight="1" x14ac:dyDescent="0.2">
      <c r="A55" s="231"/>
      <c r="B55" s="224"/>
      <c r="C55" s="224"/>
      <c r="D55" s="224"/>
      <c r="E55" s="224"/>
      <c r="F55" s="224"/>
      <c r="G55" s="224"/>
      <c r="H55" s="230"/>
      <c r="I55" s="1"/>
      <c r="J55" s="12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3.5" customHeight="1" thickBot="1" x14ac:dyDescent="0.25">
      <c r="A56" s="124"/>
      <c r="B56" s="161"/>
      <c r="C56" s="161"/>
      <c r="D56" s="161"/>
      <c r="E56" s="161"/>
      <c r="F56" s="161"/>
      <c r="G56" s="162"/>
      <c r="H56" s="183"/>
      <c r="I56" s="1"/>
      <c r="J56" s="12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3.5" customHeight="1" thickBot="1" x14ac:dyDescent="0.25">
      <c r="A57" s="198" t="s">
        <v>55</v>
      </c>
      <c r="B57" s="199"/>
      <c r="C57" s="199"/>
      <c r="D57" s="199"/>
      <c r="E57" s="199"/>
      <c r="F57" s="199"/>
      <c r="G57" s="200"/>
      <c r="H57" s="201">
        <f>H44</f>
        <v>114691.46</v>
      </c>
      <c r="I57" s="127"/>
      <c r="J57" s="12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3.5" customHeight="1" thickBot="1" x14ac:dyDescent="0.25">
      <c r="A58" s="124"/>
      <c r="B58" s="161"/>
      <c r="C58" s="161"/>
      <c r="D58" s="161"/>
      <c r="E58" s="161"/>
      <c r="F58" s="161"/>
      <c r="G58" s="162"/>
      <c r="H58" s="183"/>
      <c r="I58" s="1"/>
      <c r="J58" s="127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3.5" customHeight="1" thickBot="1" x14ac:dyDescent="0.25">
      <c r="A59" s="198" t="s">
        <v>56</v>
      </c>
      <c r="B59" s="199"/>
      <c r="C59" s="199"/>
      <c r="D59" s="199"/>
      <c r="E59" s="199"/>
      <c r="F59" s="199"/>
      <c r="G59" s="200"/>
      <c r="H59" s="202">
        <f>H17-H20-H28</f>
        <v>26558.329999999842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3.5" customHeight="1" thickBot="1" x14ac:dyDescent="0.25">
      <c r="A60" s="124"/>
      <c r="B60" s="161"/>
      <c r="C60" s="161"/>
      <c r="D60" s="161"/>
      <c r="E60" s="161"/>
      <c r="F60" s="161"/>
      <c r="G60" s="162"/>
      <c r="H60" s="18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3.5" customHeight="1" thickBot="1" x14ac:dyDescent="0.25">
      <c r="A61" s="198" t="s">
        <v>57</v>
      </c>
      <c r="B61" s="199"/>
      <c r="C61" s="199"/>
      <c r="D61" s="199"/>
      <c r="E61" s="199"/>
      <c r="F61" s="199"/>
      <c r="G61" s="200"/>
      <c r="H61" s="202">
        <f>H23-H28+H20</f>
        <v>26558.329999999842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3.5" customHeight="1" thickBot="1" x14ac:dyDescent="0.25">
      <c r="A62" s="124"/>
      <c r="B62" s="161"/>
      <c r="C62" s="161"/>
      <c r="D62" s="161"/>
      <c r="E62" s="161"/>
      <c r="F62" s="161"/>
      <c r="G62" s="162"/>
      <c r="H62" s="18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3.5" customHeight="1" thickBot="1" x14ac:dyDescent="0.25">
      <c r="A63" s="203" t="s">
        <v>58</v>
      </c>
      <c r="B63" s="204"/>
      <c r="C63" s="204" t="s">
        <v>59</v>
      </c>
      <c r="D63" s="204"/>
      <c r="E63" s="204"/>
      <c r="F63" s="204" t="s">
        <v>60</v>
      </c>
      <c r="G63" s="205"/>
      <c r="H63" s="206">
        <f>H57</f>
        <v>114691.46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3.5" customHeight="1" thickBot="1" x14ac:dyDescent="0.25">
      <c r="A64" s="149"/>
      <c r="B64" s="1"/>
      <c r="C64" s="1"/>
      <c r="D64" s="1"/>
      <c r="E64" s="1"/>
      <c r="F64" s="1"/>
      <c r="G64" s="127"/>
      <c r="H64" s="128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3.5" customHeight="1" thickBot="1" x14ac:dyDescent="0.25">
      <c r="A65" s="232" t="s">
        <v>61</v>
      </c>
      <c r="B65" s="233"/>
      <c r="C65" s="233"/>
      <c r="D65" s="233"/>
      <c r="E65" s="233"/>
      <c r="F65" s="233"/>
      <c r="G65" s="233"/>
      <c r="H65" s="23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33.75" customHeight="1" x14ac:dyDescent="0.2">
      <c r="A66" s="217" t="s">
        <v>62</v>
      </c>
      <c r="B66" s="218"/>
      <c r="C66" s="217" t="s">
        <v>62</v>
      </c>
      <c r="D66" s="219"/>
      <c r="E66" s="218"/>
      <c r="F66" s="217" t="s">
        <v>62</v>
      </c>
      <c r="G66" s="219"/>
      <c r="H66" s="218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40.25" customHeight="1" x14ac:dyDescent="0.2">
      <c r="A67" s="211"/>
      <c r="B67" s="212"/>
      <c r="C67" s="211"/>
      <c r="D67" s="213"/>
      <c r="E67" s="212"/>
      <c r="F67" s="211"/>
      <c r="G67" s="213"/>
      <c r="H67" s="21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6.5" customHeight="1" x14ac:dyDescent="0.2">
      <c r="A68" s="214" t="s">
        <v>63</v>
      </c>
      <c r="B68" s="215"/>
      <c r="C68" s="214" t="s">
        <v>63</v>
      </c>
      <c r="D68" s="216"/>
      <c r="E68" s="215"/>
      <c r="F68" s="214" t="s">
        <v>63</v>
      </c>
      <c r="G68" s="216"/>
      <c r="H68" s="215"/>
      <c r="I68" s="1"/>
      <c r="J68" s="12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7.25" customHeight="1" thickBot="1" x14ac:dyDescent="0.25">
      <c r="A69" s="207" t="s">
        <v>64</v>
      </c>
      <c r="B69" s="208"/>
      <c r="C69" s="209" t="s">
        <v>65</v>
      </c>
      <c r="D69" s="210"/>
      <c r="E69" s="208"/>
      <c r="F69" s="209" t="s">
        <v>66</v>
      </c>
      <c r="G69" s="210"/>
      <c r="H69" s="208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 x14ac:dyDescent="0.2">
      <c r="A70" s="1"/>
      <c r="B70" s="1"/>
      <c r="C70" s="1"/>
      <c r="D70" s="1"/>
      <c r="E70" s="1"/>
      <c r="F70" s="1"/>
      <c r="G70" s="127"/>
      <c r="H70" s="12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 x14ac:dyDescent="0.2">
      <c r="A71" s="1"/>
      <c r="B71" s="1"/>
      <c r="C71" s="1"/>
      <c r="D71" s="1"/>
      <c r="E71" s="1"/>
      <c r="F71" s="1"/>
      <c r="G71" s="127"/>
      <c r="H71" s="12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 x14ac:dyDescent="0.2">
      <c r="A72" s="1"/>
      <c r="B72" s="1"/>
      <c r="C72" s="1"/>
      <c r="D72" s="1"/>
      <c r="E72" s="1"/>
      <c r="F72" s="1"/>
      <c r="G72" s="127"/>
      <c r="H72" s="12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 x14ac:dyDescent="0.2">
      <c r="A73" s="1"/>
      <c r="B73" s="1"/>
      <c r="C73" s="1"/>
      <c r="D73" s="1"/>
      <c r="E73" s="1"/>
      <c r="F73" s="1"/>
      <c r="G73" s="127"/>
      <c r="H73" s="12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 x14ac:dyDescent="0.2">
      <c r="A74" s="1"/>
      <c r="B74" s="1"/>
      <c r="C74" s="1"/>
      <c r="D74" s="1"/>
      <c r="E74" s="1"/>
      <c r="F74" s="1"/>
      <c r="G74" s="127"/>
      <c r="H74" s="12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 x14ac:dyDescent="0.2">
      <c r="A75" s="1"/>
      <c r="B75" s="1"/>
      <c r="C75" s="1"/>
      <c r="D75" s="1"/>
      <c r="E75" s="1"/>
      <c r="F75" s="1"/>
      <c r="G75" s="127"/>
      <c r="H75" s="12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 x14ac:dyDescent="0.2">
      <c r="A76" s="1"/>
      <c r="B76" s="1"/>
      <c r="C76" s="1"/>
      <c r="D76" s="1"/>
      <c r="E76" s="1"/>
      <c r="F76" s="1"/>
      <c r="G76" s="127"/>
      <c r="H76" s="12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 x14ac:dyDescent="0.2">
      <c r="A77" s="1"/>
      <c r="B77" s="1"/>
      <c r="C77" s="1"/>
      <c r="D77" s="1"/>
      <c r="E77" s="1"/>
      <c r="F77" s="1"/>
      <c r="G77" s="127"/>
      <c r="H77" s="12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 x14ac:dyDescent="0.2">
      <c r="A78" s="1"/>
      <c r="B78" s="1"/>
      <c r="C78" s="1"/>
      <c r="D78" s="1"/>
      <c r="E78" s="1"/>
      <c r="F78" s="1"/>
      <c r="G78" s="127"/>
      <c r="H78" s="12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 x14ac:dyDescent="0.2">
      <c r="A79" s="1"/>
      <c r="B79" s="1"/>
      <c r="C79" s="1"/>
      <c r="D79" s="1"/>
      <c r="E79" s="1"/>
      <c r="F79" s="1"/>
      <c r="G79" s="127"/>
      <c r="H79" s="12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 x14ac:dyDescent="0.2">
      <c r="A80" s="1"/>
      <c r="B80" s="1"/>
      <c r="C80" s="1"/>
      <c r="D80" s="1"/>
      <c r="E80" s="1"/>
      <c r="F80" s="1"/>
      <c r="G80" s="127"/>
      <c r="H80" s="12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 x14ac:dyDescent="0.2">
      <c r="A81" s="1"/>
      <c r="B81" s="1"/>
      <c r="C81" s="1"/>
      <c r="D81" s="1"/>
      <c r="E81" s="1"/>
      <c r="F81" s="1"/>
      <c r="G81" s="127"/>
      <c r="H81" s="12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 x14ac:dyDescent="0.2">
      <c r="A82" s="1"/>
      <c r="B82" s="1"/>
      <c r="C82" s="1"/>
      <c r="D82" s="1"/>
      <c r="E82" s="1"/>
      <c r="F82" s="1"/>
      <c r="G82" s="127"/>
      <c r="H82" s="12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 x14ac:dyDescent="0.2">
      <c r="A83" s="1"/>
      <c r="B83" s="1"/>
      <c r="C83" s="1"/>
      <c r="D83" s="1"/>
      <c r="E83" s="1"/>
      <c r="F83" s="1"/>
      <c r="G83" s="127"/>
      <c r="H83" s="12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 x14ac:dyDescent="0.2">
      <c r="A84" s="1"/>
      <c r="B84" s="1"/>
      <c r="C84" s="1"/>
      <c r="D84" s="1"/>
      <c r="E84" s="1"/>
      <c r="F84" s="1"/>
      <c r="G84" s="127"/>
      <c r="H84" s="12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 x14ac:dyDescent="0.2">
      <c r="A85" s="1"/>
      <c r="B85" s="1"/>
      <c r="C85" s="1"/>
      <c r="D85" s="1"/>
      <c r="E85" s="1"/>
      <c r="F85" s="1"/>
      <c r="G85" s="127"/>
      <c r="H85" s="12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 x14ac:dyDescent="0.2">
      <c r="A86" s="1"/>
      <c r="B86" s="1"/>
      <c r="C86" s="1"/>
      <c r="D86" s="1"/>
      <c r="E86" s="1"/>
      <c r="F86" s="1"/>
      <c r="G86" s="127"/>
      <c r="H86" s="12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 x14ac:dyDescent="0.2">
      <c r="A87" s="1"/>
      <c r="B87" s="1"/>
      <c r="C87" s="1"/>
      <c r="D87" s="1"/>
      <c r="E87" s="1"/>
      <c r="F87" s="1"/>
      <c r="G87" s="127"/>
      <c r="H87" s="12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 x14ac:dyDescent="0.2">
      <c r="A88" s="1"/>
      <c r="B88" s="1"/>
      <c r="C88" s="1"/>
      <c r="D88" s="1"/>
      <c r="E88" s="1"/>
      <c r="F88" s="1"/>
      <c r="G88" s="127"/>
      <c r="H88" s="12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 x14ac:dyDescent="0.2">
      <c r="A89" s="1"/>
      <c r="B89" s="1"/>
      <c r="C89" s="1"/>
      <c r="D89" s="1"/>
      <c r="E89" s="1"/>
      <c r="F89" s="1"/>
      <c r="G89" s="127"/>
      <c r="H89" s="12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 x14ac:dyDescent="0.2">
      <c r="A90" s="1"/>
      <c r="B90" s="1"/>
      <c r="C90" s="1"/>
      <c r="D90" s="1"/>
      <c r="E90" s="1"/>
      <c r="F90" s="1"/>
      <c r="G90" s="127"/>
      <c r="H90" s="12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 x14ac:dyDescent="0.2">
      <c r="A91" s="1"/>
      <c r="B91" s="1"/>
      <c r="C91" s="1"/>
      <c r="D91" s="1"/>
      <c r="E91" s="1"/>
      <c r="F91" s="1"/>
      <c r="G91" s="127"/>
      <c r="H91" s="12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 x14ac:dyDescent="0.2">
      <c r="A92" s="1"/>
      <c r="B92" s="1"/>
      <c r="C92" s="1"/>
      <c r="D92" s="1"/>
      <c r="E92" s="1"/>
      <c r="F92" s="1"/>
      <c r="G92" s="127"/>
      <c r="H92" s="12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 x14ac:dyDescent="0.2">
      <c r="A93" s="1"/>
      <c r="B93" s="1"/>
      <c r="C93" s="1"/>
      <c r="D93" s="1"/>
      <c r="E93" s="1"/>
      <c r="F93" s="1"/>
      <c r="G93" s="127"/>
      <c r="H93" s="12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 x14ac:dyDescent="0.2">
      <c r="A94" s="1"/>
      <c r="B94" s="1"/>
      <c r="C94" s="1"/>
      <c r="D94" s="1"/>
      <c r="E94" s="1"/>
      <c r="F94" s="1"/>
      <c r="G94" s="127"/>
      <c r="H94" s="12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 x14ac:dyDescent="0.2">
      <c r="A95" s="1"/>
      <c r="B95" s="1"/>
      <c r="C95" s="1"/>
      <c r="D95" s="1"/>
      <c r="E95" s="1"/>
      <c r="F95" s="1"/>
      <c r="G95" s="127"/>
      <c r="H95" s="12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 x14ac:dyDescent="0.2">
      <c r="A96" s="1"/>
      <c r="B96" s="1"/>
      <c r="C96" s="1"/>
      <c r="D96" s="1"/>
      <c r="E96" s="1"/>
      <c r="F96" s="1"/>
      <c r="G96" s="127"/>
      <c r="H96" s="12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 x14ac:dyDescent="0.2">
      <c r="A97" s="1"/>
      <c r="B97" s="1"/>
      <c r="C97" s="1"/>
      <c r="D97" s="1"/>
      <c r="E97" s="1"/>
      <c r="F97" s="1"/>
      <c r="G97" s="127"/>
      <c r="H97" s="12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 x14ac:dyDescent="0.2">
      <c r="A98" s="1"/>
      <c r="B98" s="1"/>
      <c r="C98" s="1"/>
      <c r="D98" s="1"/>
      <c r="E98" s="1"/>
      <c r="F98" s="1"/>
      <c r="G98" s="127"/>
      <c r="H98" s="12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 x14ac:dyDescent="0.2">
      <c r="A99" s="1"/>
      <c r="B99" s="1"/>
      <c r="C99" s="1"/>
      <c r="D99" s="1"/>
      <c r="E99" s="1"/>
      <c r="F99" s="1"/>
      <c r="G99" s="127"/>
      <c r="H99" s="12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 x14ac:dyDescent="0.2">
      <c r="A100" s="1"/>
      <c r="B100" s="1"/>
      <c r="C100" s="1"/>
      <c r="D100" s="1"/>
      <c r="E100" s="1"/>
      <c r="F100" s="1"/>
      <c r="G100" s="127"/>
      <c r="H100" s="12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 x14ac:dyDescent="0.2">
      <c r="A101" s="1"/>
      <c r="B101" s="1"/>
      <c r="C101" s="1"/>
      <c r="D101" s="1"/>
      <c r="E101" s="1"/>
      <c r="F101" s="1"/>
      <c r="G101" s="127"/>
      <c r="H101" s="12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 x14ac:dyDescent="0.2">
      <c r="A102" s="1"/>
      <c r="B102" s="1"/>
      <c r="C102" s="1"/>
      <c r="D102" s="1"/>
      <c r="E102" s="1"/>
      <c r="F102" s="1"/>
      <c r="G102" s="127"/>
      <c r="H102" s="12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 x14ac:dyDescent="0.2">
      <c r="A103" s="1"/>
      <c r="B103" s="1"/>
      <c r="C103" s="1"/>
      <c r="D103" s="1"/>
      <c r="E103" s="1"/>
      <c r="F103" s="1"/>
      <c r="G103" s="127"/>
      <c r="H103" s="12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 x14ac:dyDescent="0.2">
      <c r="A104" s="1"/>
      <c r="B104" s="1"/>
      <c r="C104" s="1"/>
      <c r="D104" s="1"/>
      <c r="E104" s="1"/>
      <c r="F104" s="1"/>
      <c r="G104" s="127"/>
      <c r="H104" s="12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 x14ac:dyDescent="0.2">
      <c r="A105" s="1"/>
      <c r="B105" s="1"/>
      <c r="C105" s="1"/>
      <c r="D105" s="1"/>
      <c r="E105" s="1"/>
      <c r="F105" s="1"/>
      <c r="G105" s="127"/>
      <c r="H105" s="12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 x14ac:dyDescent="0.2">
      <c r="A106" s="1"/>
      <c r="B106" s="1"/>
      <c r="C106" s="1"/>
      <c r="D106" s="1"/>
      <c r="E106" s="1"/>
      <c r="F106" s="1"/>
      <c r="G106" s="127"/>
      <c r="H106" s="12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 x14ac:dyDescent="0.2">
      <c r="A107" s="1"/>
      <c r="B107" s="1"/>
      <c r="C107" s="1"/>
      <c r="D107" s="1"/>
      <c r="E107" s="1"/>
      <c r="F107" s="1"/>
      <c r="G107" s="127"/>
      <c r="H107" s="12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 x14ac:dyDescent="0.2">
      <c r="A108" s="1"/>
      <c r="B108" s="1"/>
      <c r="C108" s="1"/>
      <c r="D108" s="1"/>
      <c r="E108" s="1"/>
      <c r="F108" s="1"/>
      <c r="G108" s="127"/>
      <c r="H108" s="12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 x14ac:dyDescent="0.2">
      <c r="A109" s="1"/>
      <c r="B109" s="1"/>
      <c r="C109" s="1"/>
      <c r="D109" s="1"/>
      <c r="E109" s="1"/>
      <c r="F109" s="1"/>
      <c r="G109" s="127"/>
      <c r="H109" s="12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 x14ac:dyDescent="0.2">
      <c r="A110" s="1"/>
      <c r="B110" s="1"/>
      <c r="C110" s="1"/>
      <c r="D110" s="1"/>
      <c r="E110" s="1"/>
      <c r="F110" s="1"/>
      <c r="G110" s="127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 x14ac:dyDescent="0.2">
      <c r="A111" s="1"/>
      <c r="B111" s="1"/>
      <c r="C111" s="1"/>
      <c r="D111" s="1"/>
      <c r="E111" s="1"/>
      <c r="F111" s="1"/>
      <c r="G111" s="127"/>
      <c r="H111" s="12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 x14ac:dyDescent="0.2">
      <c r="A112" s="1"/>
      <c r="B112" s="1"/>
      <c r="C112" s="1"/>
      <c r="D112" s="1"/>
      <c r="E112" s="1"/>
      <c r="F112" s="1"/>
      <c r="G112" s="127"/>
      <c r="H112" s="12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 x14ac:dyDescent="0.2">
      <c r="A113" s="1"/>
      <c r="B113" s="1"/>
      <c r="C113" s="1"/>
      <c r="D113" s="1"/>
      <c r="E113" s="1"/>
      <c r="F113" s="1"/>
      <c r="G113" s="127"/>
      <c r="H113" s="12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 x14ac:dyDescent="0.2">
      <c r="A114" s="1"/>
      <c r="B114" s="1"/>
      <c r="C114" s="1"/>
      <c r="D114" s="1"/>
      <c r="E114" s="1"/>
      <c r="F114" s="1"/>
      <c r="G114" s="127"/>
      <c r="H114" s="12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 x14ac:dyDescent="0.2">
      <c r="A115" s="1"/>
      <c r="B115" s="1"/>
      <c r="C115" s="1"/>
      <c r="D115" s="1"/>
      <c r="E115" s="1"/>
      <c r="F115" s="1"/>
      <c r="G115" s="127"/>
      <c r="H115" s="12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 x14ac:dyDescent="0.2">
      <c r="A116" s="1"/>
      <c r="B116" s="1"/>
      <c r="C116" s="1"/>
      <c r="D116" s="1"/>
      <c r="E116" s="1"/>
      <c r="F116" s="1"/>
      <c r="G116" s="127"/>
      <c r="H116" s="12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 x14ac:dyDescent="0.2">
      <c r="A117" s="1"/>
      <c r="B117" s="1"/>
      <c r="C117" s="1"/>
      <c r="D117" s="1"/>
      <c r="E117" s="1"/>
      <c r="F117" s="1"/>
      <c r="G117" s="127"/>
      <c r="H117" s="12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 x14ac:dyDescent="0.2">
      <c r="A118" s="1"/>
      <c r="B118" s="1"/>
      <c r="C118" s="1"/>
      <c r="D118" s="1"/>
      <c r="E118" s="1"/>
      <c r="F118" s="1"/>
      <c r="G118" s="127"/>
      <c r="H118" s="12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 x14ac:dyDescent="0.2">
      <c r="A119" s="1"/>
      <c r="B119" s="1"/>
      <c r="C119" s="1"/>
      <c r="D119" s="1"/>
      <c r="E119" s="1"/>
      <c r="F119" s="1"/>
      <c r="G119" s="127"/>
      <c r="H119" s="12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 x14ac:dyDescent="0.2">
      <c r="A120" s="1"/>
      <c r="B120" s="1"/>
      <c r="C120" s="1"/>
      <c r="D120" s="1"/>
      <c r="E120" s="1"/>
      <c r="F120" s="1"/>
      <c r="G120" s="127"/>
      <c r="H120" s="12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 x14ac:dyDescent="0.2">
      <c r="A121" s="1"/>
      <c r="B121" s="1"/>
      <c r="C121" s="1"/>
      <c r="D121" s="1"/>
      <c r="E121" s="1"/>
      <c r="F121" s="1"/>
      <c r="G121" s="127"/>
      <c r="H121" s="12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 x14ac:dyDescent="0.2">
      <c r="A122" s="1"/>
      <c r="B122" s="1"/>
      <c r="C122" s="1"/>
      <c r="D122" s="1"/>
      <c r="E122" s="1"/>
      <c r="F122" s="1"/>
      <c r="G122" s="127"/>
      <c r="H122" s="12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 x14ac:dyDescent="0.2">
      <c r="A123" s="1"/>
      <c r="B123" s="1"/>
      <c r="C123" s="1"/>
      <c r="D123" s="1"/>
      <c r="E123" s="1"/>
      <c r="F123" s="1"/>
      <c r="G123" s="127"/>
      <c r="H123" s="12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 x14ac:dyDescent="0.2">
      <c r="A124" s="1"/>
      <c r="B124" s="1"/>
      <c r="C124" s="1"/>
      <c r="D124" s="1"/>
      <c r="E124" s="1"/>
      <c r="F124" s="1"/>
      <c r="G124" s="127"/>
      <c r="H124" s="12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 x14ac:dyDescent="0.2">
      <c r="A125" s="1"/>
      <c r="B125" s="1"/>
      <c r="C125" s="1"/>
      <c r="D125" s="1"/>
      <c r="E125" s="1"/>
      <c r="F125" s="1"/>
      <c r="G125" s="127"/>
      <c r="H125" s="12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 x14ac:dyDescent="0.2">
      <c r="A126" s="1"/>
      <c r="B126" s="1"/>
      <c r="C126" s="1"/>
      <c r="D126" s="1"/>
      <c r="E126" s="1"/>
      <c r="F126" s="1"/>
      <c r="G126" s="127"/>
      <c r="H126" s="12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 x14ac:dyDescent="0.2">
      <c r="A127" s="1"/>
      <c r="B127" s="1"/>
      <c r="C127" s="1"/>
      <c r="D127" s="1"/>
      <c r="E127" s="1"/>
      <c r="F127" s="1"/>
      <c r="G127" s="127"/>
      <c r="H127" s="12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 x14ac:dyDescent="0.2">
      <c r="A128" s="1"/>
      <c r="B128" s="1"/>
      <c r="C128" s="1"/>
      <c r="D128" s="1"/>
      <c r="E128" s="1"/>
      <c r="F128" s="1"/>
      <c r="G128" s="127"/>
      <c r="H128" s="12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 x14ac:dyDescent="0.2">
      <c r="A129" s="1"/>
      <c r="B129" s="1"/>
      <c r="C129" s="1"/>
      <c r="D129" s="1"/>
      <c r="E129" s="1"/>
      <c r="F129" s="1"/>
      <c r="G129" s="127"/>
      <c r="H129" s="12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 x14ac:dyDescent="0.2">
      <c r="A130" s="1"/>
      <c r="B130" s="1"/>
      <c r="C130" s="1"/>
      <c r="D130" s="1"/>
      <c r="E130" s="1"/>
      <c r="F130" s="1"/>
      <c r="G130" s="127"/>
      <c r="H130" s="12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 x14ac:dyDescent="0.2">
      <c r="A131" s="1"/>
      <c r="B131" s="1"/>
      <c r="C131" s="1"/>
      <c r="D131" s="1"/>
      <c r="E131" s="1"/>
      <c r="F131" s="1"/>
      <c r="G131" s="127"/>
      <c r="H131" s="12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 x14ac:dyDescent="0.2">
      <c r="A132" s="1"/>
      <c r="B132" s="1"/>
      <c r="C132" s="1"/>
      <c r="D132" s="1"/>
      <c r="E132" s="1"/>
      <c r="F132" s="1"/>
      <c r="G132" s="127"/>
      <c r="H132" s="12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 x14ac:dyDescent="0.2">
      <c r="A133" s="1"/>
      <c r="B133" s="1"/>
      <c r="C133" s="1"/>
      <c r="D133" s="1"/>
      <c r="E133" s="1"/>
      <c r="F133" s="1"/>
      <c r="G133" s="127"/>
      <c r="H133" s="12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 x14ac:dyDescent="0.2">
      <c r="A134" s="1"/>
      <c r="B134" s="1"/>
      <c r="C134" s="1"/>
      <c r="D134" s="1"/>
      <c r="E134" s="1"/>
      <c r="F134" s="1"/>
      <c r="G134" s="127"/>
      <c r="H134" s="12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 x14ac:dyDescent="0.2">
      <c r="A135" s="1"/>
      <c r="B135" s="1"/>
      <c r="C135" s="1"/>
      <c r="D135" s="1"/>
      <c r="E135" s="1"/>
      <c r="F135" s="1"/>
      <c r="G135" s="127"/>
      <c r="H135" s="12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 x14ac:dyDescent="0.2">
      <c r="A136" s="1"/>
      <c r="B136" s="1"/>
      <c r="C136" s="1"/>
      <c r="D136" s="1"/>
      <c r="E136" s="1"/>
      <c r="F136" s="1"/>
      <c r="G136" s="127"/>
      <c r="H136" s="12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 x14ac:dyDescent="0.2">
      <c r="A137" s="1"/>
      <c r="B137" s="1"/>
      <c r="C137" s="1"/>
      <c r="D137" s="1"/>
      <c r="E137" s="1"/>
      <c r="F137" s="1"/>
      <c r="G137" s="127"/>
      <c r="H137" s="12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 x14ac:dyDescent="0.2">
      <c r="A138" s="1"/>
      <c r="B138" s="1"/>
      <c r="C138" s="1"/>
      <c r="D138" s="1"/>
      <c r="E138" s="1"/>
      <c r="F138" s="1"/>
      <c r="G138" s="127"/>
      <c r="H138" s="12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 x14ac:dyDescent="0.2">
      <c r="A139" s="1"/>
      <c r="B139" s="1"/>
      <c r="C139" s="1"/>
      <c r="D139" s="1"/>
      <c r="E139" s="1"/>
      <c r="F139" s="1"/>
      <c r="G139" s="127"/>
      <c r="H139" s="12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 x14ac:dyDescent="0.2">
      <c r="A140" s="1"/>
      <c r="B140" s="1"/>
      <c r="C140" s="1"/>
      <c r="D140" s="1"/>
      <c r="E140" s="1"/>
      <c r="F140" s="1"/>
      <c r="G140" s="127"/>
      <c r="H140" s="12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 x14ac:dyDescent="0.2">
      <c r="A141" s="1"/>
      <c r="B141" s="1"/>
      <c r="C141" s="1"/>
      <c r="D141" s="1"/>
      <c r="E141" s="1"/>
      <c r="F141" s="1"/>
      <c r="G141" s="127"/>
      <c r="H141" s="12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 x14ac:dyDescent="0.2">
      <c r="A142" s="1"/>
      <c r="B142" s="1"/>
      <c r="C142" s="1"/>
      <c r="D142" s="1"/>
      <c r="E142" s="1"/>
      <c r="F142" s="1"/>
      <c r="G142" s="127"/>
      <c r="H142" s="12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 x14ac:dyDescent="0.2">
      <c r="A143" s="1"/>
      <c r="B143" s="1"/>
      <c r="C143" s="1"/>
      <c r="D143" s="1"/>
      <c r="E143" s="1"/>
      <c r="F143" s="1"/>
      <c r="G143" s="127"/>
      <c r="H143" s="12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 x14ac:dyDescent="0.2">
      <c r="A144" s="1"/>
      <c r="B144" s="1"/>
      <c r="C144" s="1"/>
      <c r="D144" s="1"/>
      <c r="E144" s="1"/>
      <c r="F144" s="1"/>
      <c r="G144" s="127"/>
      <c r="H144" s="12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 x14ac:dyDescent="0.2">
      <c r="A145" s="1"/>
      <c r="B145" s="1"/>
      <c r="C145" s="1"/>
      <c r="D145" s="1"/>
      <c r="E145" s="1"/>
      <c r="F145" s="1"/>
      <c r="G145" s="127"/>
      <c r="H145" s="12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 x14ac:dyDescent="0.2">
      <c r="A146" s="1"/>
      <c r="B146" s="1"/>
      <c r="C146" s="1"/>
      <c r="D146" s="1"/>
      <c r="E146" s="1"/>
      <c r="F146" s="1"/>
      <c r="G146" s="127"/>
      <c r="H146" s="12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 x14ac:dyDescent="0.2">
      <c r="A147" s="1"/>
      <c r="B147" s="1"/>
      <c r="C147" s="1"/>
      <c r="D147" s="1"/>
      <c r="E147" s="1"/>
      <c r="F147" s="1"/>
      <c r="G147" s="127"/>
      <c r="H147" s="12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 x14ac:dyDescent="0.2">
      <c r="A148" s="1"/>
      <c r="B148" s="1"/>
      <c r="C148" s="1"/>
      <c r="D148" s="1"/>
      <c r="E148" s="1"/>
      <c r="F148" s="1"/>
      <c r="G148" s="127"/>
      <c r="H148" s="12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 x14ac:dyDescent="0.2">
      <c r="A149" s="1"/>
      <c r="B149" s="1"/>
      <c r="C149" s="1"/>
      <c r="D149" s="1"/>
      <c r="E149" s="1"/>
      <c r="F149" s="1"/>
      <c r="G149" s="127"/>
      <c r="H149" s="12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 x14ac:dyDescent="0.2">
      <c r="A150" s="1"/>
      <c r="B150" s="1"/>
      <c r="C150" s="1"/>
      <c r="D150" s="1"/>
      <c r="E150" s="1"/>
      <c r="F150" s="1"/>
      <c r="G150" s="127"/>
      <c r="H150" s="12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 x14ac:dyDescent="0.2">
      <c r="A151" s="1"/>
      <c r="B151" s="1"/>
      <c r="C151" s="1"/>
      <c r="D151" s="1"/>
      <c r="E151" s="1"/>
      <c r="F151" s="1"/>
      <c r="G151" s="127"/>
      <c r="H151" s="12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 x14ac:dyDescent="0.2">
      <c r="A152" s="1"/>
      <c r="B152" s="1"/>
      <c r="C152" s="1"/>
      <c r="D152" s="1"/>
      <c r="E152" s="1"/>
      <c r="F152" s="1"/>
      <c r="G152" s="127"/>
      <c r="H152" s="12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 x14ac:dyDescent="0.2">
      <c r="A153" s="1"/>
      <c r="B153" s="1"/>
      <c r="C153" s="1"/>
      <c r="D153" s="1"/>
      <c r="E153" s="1"/>
      <c r="F153" s="1"/>
      <c r="G153" s="127"/>
      <c r="H153" s="12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 x14ac:dyDescent="0.2">
      <c r="A154" s="1"/>
      <c r="B154" s="1"/>
      <c r="C154" s="1"/>
      <c r="D154" s="1"/>
      <c r="E154" s="1"/>
      <c r="F154" s="1"/>
      <c r="G154" s="127"/>
      <c r="H154" s="12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 x14ac:dyDescent="0.2">
      <c r="A155" s="1"/>
      <c r="B155" s="1"/>
      <c r="C155" s="1"/>
      <c r="D155" s="1"/>
      <c r="E155" s="1"/>
      <c r="F155" s="1"/>
      <c r="G155" s="127"/>
      <c r="H155" s="12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 x14ac:dyDescent="0.2">
      <c r="A156" s="1"/>
      <c r="B156" s="1"/>
      <c r="C156" s="1"/>
      <c r="D156" s="1"/>
      <c r="E156" s="1"/>
      <c r="F156" s="1"/>
      <c r="G156" s="127"/>
      <c r="H156" s="12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 x14ac:dyDescent="0.2">
      <c r="A157" s="1"/>
      <c r="B157" s="1"/>
      <c r="C157" s="1"/>
      <c r="D157" s="1"/>
      <c r="E157" s="1"/>
      <c r="F157" s="1"/>
      <c r="G157" s="127"/>
      <c r="H157" s="12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 x14ac:dyDescent="0.2">
      <c r="A158" s="1"/>
      <c r="B158" s="1"/>
      <c r="C158" s="1"/>
      <c r="D158" s="1"/>
      <c r="E158" s="1"/>
      <c r="F158" s="1"/>
      <c r="G158" s="127"/>
      <c r="H158" s="12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 x14ac:dyDescent="0.2">
      <c r="A159" s="1"/>
      <c r="B159" s="1"/>
      <c r="C159" s="1"/>
      <c r="D159" s="1"/>
      <c r="E159" s="1"/>
      <c r="F159" s="1"/>
      <c r="G159" s="127"/>
      <c r="H159" s="12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 x14ac:dyDescent="0.2">
      <c r="A160" s="1"/>
      <c r="B160" s="1"/>
      <c r="C160" s="1"/>
      <c r="D160" s="1"/>
      <c r="E160" s="1"/>
      <c r="F160" s="1"/>
      <c r="G160" s="127"/>
      <c r="H160" s="12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 x14ac:dyDescent="0.2">
      <c r="A161" s="1"/>
      <c r="B161" s="1"/>
      <c r="C161" s="1"/>
      <c r="D161" s="1"/>
      <c r="E161" s="1"/>
      <c r="F161" s="1"/>
      <c r="G161" s="127"/>
      <c r="H161" s="12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 x14ac:dyDescent="0.2">
      <c r="A162" s="1"/>
      <c r="B162" s="1"/>
      <c r="C162" s="1"/>
      <c r="D162" s="1"/>
      <c r="E162" s="1"/>
      <c r="F162" s="1"/>
      <c r="G162" s="127"/>
      <c r="H162" s="12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 x14ac:dyDescent="0.2">
      <c r="A163" s="1"/>
      <c r="B163" s="1"/>
      <c r="C163" s="1"/>
      <c r="D163" s="1"/>
      <c r="E163" s="1"/>
      <c r="F163" s="1"/>
      <c r="G163" s="127"/>
      <c r="H163" s="12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 x14ac:dyDescent="0.2">
      <c r="A164" s="1"/>
      <c r="B164" s="1"/>
      <c r="C164" s="1"/>
      <c r="D164" s="1"/>
      <c r="E164" s="1"/>
      <c r="F164" s="1"/>
      <c r="G164" s="127"/>
      <c r="H164" s="12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 x14ac:dyDescent="0.2">
      <c r="A165" s="1"/>
      <c r="B165" s="1"/>
      <c r="C165" s="1"/>
      <c r="D165" s="1"/>
      <c r="E165" s="1"/>
      <c r="F165" s="1"/>
      <c r="G165" s="127"/>
      <c r="H165" s="12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 x14ac:dyDescent="0.2">
      <c r="A166" s="1"/>
      <c r="B166" s="1"/>
      <c r="C166" s="1"/>
      <c r="D166" s="1"/>
      <c r="E166" s="1"/>
      <c r="F166" s="1"/>
      <c r="G166" s="127"/>
      <c r="H166" s="12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 x14ac:dyDescent="0.2">
      <c r="A167" s="1"/>
      <c r="B167" s="1"/>
      <c r="C167" s="1"/>
      <c r="D167" s="1"/>
      <c r="E167" s="1"/>
      <c r="F167" s="1"/>
      <c r="G167" s="127"/>
      <c r="H167" s="12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 x14ac:dyDescent="0.2">
      <c r="A168" s="1"/>
      <c r="B168" s="1"/>
      <c r="C168" s="1"/>
      <c r="D168" s="1"/>
      <c r="E168" s="1"/>
      <c r="F168" s="1"/>
      <c r="G168" s="127"/>
      <c r="H168" s="12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 x14ac:dyDescent="0.2">
      <c r="A169" s="1"/>
      <c r="B169" s="1"/>
      <c r="C169" s="1"/>
      <c r="D169" s="1"/>
      <c r="E169" s="1"/>
      <c r="F169" s="1"/>
      <c r="G169" s="127"/>
      <c r="H169" s="12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 x14ac:dyDescent="0.2">
      <c r="A170" s="1"/>
      <c r="B170" s="1"/>
      <c r="C170" s="1"/>
      <c r="D170" s="1"/>
      <c r="E170" s="1"/>
      <c r="F170" s="1"/>
      <c r="G170" s="127"/>
      <c r="H170" s="12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 x14ac:dyDescent="0.2">
      <c r="A171" s="1"/>
      <c r="B171" s="1"/>
      <c r="C171" s="1"/>
      <c r="D171" s="1"/>
      <c r="E171" s="1"/>
      <c r="F171" s="1"/>
      <c r="G171" s="127"/>
      <c r="H171" s="12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 x14ac:dyDescent="0.2">
      <c r="A172" s="1"/>
      <c r="B172" s="1"/>
      <c r="C172" s="1"/>
      <c r="D172" s="1"/>
      <c r="E172" s="1"/>
      <c r="F172" s="1"/>
      <c r="G172" s="127"/>
      <c r="H172" s="12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 x14ac:dyDescent="0.2">
      <c r="A173" s="1"/>
      <c r="B173" s="1"/>
      <c r="C173" s="1"/>
      <c r="D173" s="1"/>
      <c r="E173" s="1"/>
      <c r="F173" s="1"/>
      <c r="G173" s="127"/>
      <c r="H173" s="12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 x14ac:dyDescent="0.2">
      <c r="A174" s="1"/>
      <c r="B174" s="1"/>
      <c r="C174" s="1"/>
      <c r="D174" s="1"/>
      <c r="E174" s="1"/>
      <c r="F174" s="1"/>
      <c r="G174" s="127"/>
      <c r="H174" s="12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 x14ac:dyDescent="0.2">
      <c r="A175" s="1"/>
      <c r="B175" s="1"/>
      <c r="C175" s="1"/>
      <c r="D175" s="1"/>
      <c r="E175" s="1"/>
      <c r="F175" s="1"/>
      <c r="G175" s="127"/>
      <c r="H175" s="12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 x14ac:dyDescent="0.2">
      <c r="A176" s="1"/>
      <c r="B176" s="1"/>
      <c r="C176" s="1"/>
      <c r="D176" s="1"/>
      <c r="E176" s="1"/>
      <c r="F176" s="1"/>
      <c r="G176" s="127"/>
      <c r="H176" s="12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 x14ac:dyDescent="0.2">
      <c r="A177" s="1"/>
      <c r="B177" s="1"/>
      <c r="C177" s="1"/>
      <c r="D177" s="1"/>
      <c r="E177" s="1"/>
      <c r="F177" s="1"/>
      <c r="G177" s="127"/>
      <c r="H177" s="12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 x14ac:dyDescent="0.2">
      <c r="A178" s="1"/>
      <c r="B178" s="1"/>
      <c r="C178" s="1"/>
      <c r="D178" s="1"/>
      <c r="E178" s="1"/>
      <c r="F178" s="1"/>
      <c r="G178" s="127"/>
      <c r="H178" s="12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 x14ac:dyDescent="0.2">
      <c r="A179" s="1"/>
      <c r="B179" s="1"/>
      <c r="C179" s="1"/>
      <c r="D179" s="1"/>
      <c r="E179" s="1"/>
      <c r="F179" s="1"/>
      <c r="G179" s="127"/>
      <c r="H179" s="12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 x14ac:dyDescent="0.2">
      <c r="A180" s="1"/>
      <c r="B180" s="1"/>
      <c r="C180" s="1"/>
      <c r="D180" s="1"/>
      <c r="E180" s="1"/>
      <c r="F180" s="1"/>
      <c r="G180" s="127"/>
      <c r="H180" s="12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 x14ac:dyDescent="0.2">
      <c r="A181" s="1"/>
      <c r="B181" s="1"/>
      <c r="C181" s="1"/>
      <c r="D181" s="1"/>
      <c r="E181" s="1"/>
      <c r="F181" s="1"/>
      <c r="G181" s="127"/>
      <c r="H181" s="12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 x14ac:dyDescent="0.2">
      <c r="A182" s="1"/>
      <c r="B182" s="1"/>
      <c r="C182" s="1"/>
      <c r="D182" s="1"/>
      <c r="E182" s="1"/>
      <c r="F182" s="1"/>
      <c r="G182" s="127"/>
      <c r="H182" s="12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 x14ac:dyDescent="0.2">
      <c r="A183" s="1"/>
      <c r="B183" s="1"/>
      <c r="C183" s="1"/>
      <c r="D183" s="1"/>
      <c r="E183" s="1"/>
      <c r="F183" s="1"/>
      <c r="G183" s="127"/>
      <c r="H183" s="12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 x14ac:dyDescent="0.2">
      <c r="A184" s="1"/>
      <c r="B184" s="1"/>
      <c r="C184" s="1"/>
      <c r="D184" s="1"/>
      <c r="E184" s="1"/>
      <c r="F184" s="1"/>
      <c r="G184" s="127"/>
      <c r="H184" s="12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 x14ac:dyDescent="0.2">
      <c r="A185" s="1"/>
      <c r="B185" s="1"/>
      <c r="C185" s="1"/>
      <c r="D185" s="1"/>
      <c r="E185" s="1"/>
      <c r="F185" s="1"/>
      <c r="G185" s="127"/>
      <c r="H185" s="12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 x14ac:dyDescent="0.2">
      <c r="A186" s="1"/>
      <c r="B186" s="1"/>
      <c r="C186" s="1"/>
      <c r="D186" s="1"/>
      <c r="E186" s="1"/>
      <c r="F186" s="1"/>
      <c r="G186" s="127"/>
      <c r="H186" s="12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 x14ac:dyDescent="0.2">
      <c r="A187" s="1"/>
      <c r="B187" s="1"/>
      <c r="C187" s="1"/>
      <c r="D187" s="1"/>
      <c r="E187" s="1"/>
      <c r="F187" s="1"/>
      <c r="G187" s="127"/>
      <c r="H187" s="12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 x14ac:dyDescent="0.2">
      <c r="A188" s="1"/>
      <c r="B188" s="1"/>
      <c r="C188" s="1"/>
      <c r="D188" s="1"/>
      <c r="E188" s="1"/>
      <c r="F188" s="1"/>
      <c r="G188" s="127"/>
      <c r="H188" s="12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 x14ac:dyDescent="0.2">
      <c r="A189" s="1"/>
      <c r="B189" s="1"/>
      <c r="C189" s="1"/>
      <c r="D189" s="1"/>
      <c r="E189" s="1"/>
      <c r="F189" s="1"/>
      <c r="G189" s="127"/>
      <c r="H189" s="12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 x14ac:dyDescent="0.2">
      <c r="A190" s="1"/>
      <c r="B190" s="1"/>
      <c r="C190" s="1"/>
      <c r="D190" s="1"/>
      <c r="E190" s="1"/>
      <c r="F190" s="1"/>
      <c r="G190" s="127"/>
      <c r="H190" s="12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 x14ac:dyDescent="0.2">
      <c r="A191" s="1"/>
      <c r="B191" s="1"/>
      <c r="C191" s="1"/>
      <c r="D191" s="1"/>
      <c r="E191" s="1"/>
      <c r="F191" s="1"/>
      <c r="G191" s="127"/>
      <c r="H191" s="12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 x14ac:dyDescent="0.2">
      <c r="A192" s="1"/>
      <c r="B192" s="1"/>
      <c r="C192" s="1"/>
      <c r="D192" s="1"/>
      <c r="E192" s="1"/>
      <c r="F192" s="1"/>
      <c r="G192" s="127"/>
      <c r="H192" s="12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 x14ac:dyDescent="0.2">
      <c r="A193" s="1"/>
      <c r="B193" s="1"/>
      <c r="C193" s="1"/>
      <c r="D193" s="1"/>
      <c r="E193" s="1"/>
      <c r="F193" s="1"/>
      <c r="G193" s="127"/>
      <c r="H193" s="12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 x14ac:dyDescent="0.2">
      <c r="A194" s="1"/>
      <c r="B194" s="1"/>
      <c r="C194" s="1"/>
      <c r="D194" s="1"/>
      <c r="E194" s="1"/>
      <c r="F194" s="1"/>
      <c r="G194" s="127"/>
      <c r="H194" s="12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 x14ac:dyDescent="0.2">
      <c r="A195" s="1"/>
      <c r="B195" s="1"/>
      <c r="C195" s="1"/>
      <c r="D195" s="1"/>
      <c r="E195" s="1"/>
      <c r="F195" s="1"/>
      <c r="G195" s="127"/>
      <c r="H195" s="12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 x14ac:dyDescent="0.2">
      <c r="A196" s="1"/>
      <c r="B196" s="1"/>
      <c r="C196" s="1"/>
      <c r="D196" s="1"/>
      <c r="E196" s="1"/>
      <c r="F196" s="1"/>
      <c r="G196" s="127"/>
      <c r="H196" s="12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 x14ac:dyDescent="0.2">
      <c r="A197" s="1"/>
      <c r="B197" s="1"/>
      <c r="C197" s="1"/>
      <c r="D197" s="1"/>
      <c r="E197" s="1"/>
      <c r="F197" s="1"/>
      <c r="G197" s="127"/>
      <c r="H197" s="12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 x14ac:dyDescent="0.2">
      <c r="A198" s="1"/>
      <c r="B198" s="1"/>
      <c r="C198" s="1"/>
      <c r="D198" s="1"/>
      <c r="E198" s="1"/>
      <c r="F198" s="1"/>
      <c r="G198" s="127"/>
      <c r="H198" s="12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 x14ac:dyDescent="0.2">
      <c r="A199" s="1"/>
      <c r="B199" s="1"/>
      <c r="C199" s="1"/>
      <c r="D199" s="1"/>
      <c r="E199" s="1"/>
      <c r="F199" s="1"/>
      <c r="G199" s="127"/>
      <c r="H199" s="12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 x14ac:dyDescent="0.2">
      <c r="A200" s="1"/>
      <c r="B200" s="1"/>
      <c r="C200" s="1"/>
      <c r="D200" s="1"/>
      <c r="E200" s="1"/>
      <c r="F200" s="1"/>
      <c r="G200" s="127"/>
      <c r="H200" s="12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 x14ac:dyDescent="0.2">
      <c r="A201" s="1"/>
      <c r="B201" s="1"/>
      <c r="C201" s="1"/>
      <c r="D201" s="1"/>
      <c r="E201" s="1"/>
      <c r="F201" s="1"/>
      <c r="G201" s="127"/>
      <c r="H201" s="12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 x14ac:dyDescent="0.2">
      <c r="A202" s="1"/>
      <c r="B202" s="1"/>
      <c r="C202" s="1"/>
      <c r="D202" s="1"/>
      <c r="E202" s="1"/>
      <c r="F202" s="1"/>
      <c r="G202" s="127"/>
      <c r="H202" s="12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 x14ac:dyDescent="0.2">
      <c r="A203" s="1"/>
      <c r="B203" s="1"/>
      <c r="C203" s="1"/>
      <c r="D203" s="1"/>
      <c r="E203" s="1"/>
      <c r="F203" s="1"/>
      <c r="G203" s="127"/>
      <c r="H203" s="12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 x14ac:dyDescent="0.2">
      <c r="A204" s="1"/>
      <c r="B204" s="1"/>
      <c r="C204" s="1"/>
      <c r="D204" s="1"/>
      <c r="E204" s="1"/>
      <c r="F204" s="1"/>
      <c r="G204" s="127"/>
      <c r="H204" s="12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 x14ac:dyDescent="0.2">
      <c r="A205" s="1"/>
      <c r="B205" s="1"/>
      <c r="C205" s="1"/>
      <c r="D205" s="1"/>
      <c r="E205" s="1"/>
      <c r="F205" s="1"/>
      <c r="G205" s="127"/>
      <c r="H205" s="12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 x14ac:dyDescent="0.2">
      <c r="A206" s="1"/>
      <c r="B206" s="1"/>
      <c r="C206" s="1"/>
      <c r="D206" s="1"/>
      <c r="E206" s="1"/>
      <c r="F206" s="1"/>
      <c r="G206" s="127"/>
      <c r="H206" s="12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 x14ac:dyDescent="0.2">
      <c r="A207" s="1"/>
      <c r="B207" s="1"/>
      <c r="C207" s="1"/>
      <c r="D207" s="1"/>
      <c r="E207" s="1"/>
      <c r="F207" s="1"/>
      <c r="G207" s="127"/>
      <c r="H207" s="12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 x14ac:dyDescent="0.2">
      <c r="A208" s="1"/>
      <c r="B208" s="1"/>
      <c r="C208" s="1"/>
      <c r="D208" s="1"/>
      <c r="E208" s="1"/>
      <c r="F208" s="1"/>
      <c r="G208" s="127"/>
      <c r="H208" s="12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 x14ac:dyDescent="0.2">
      <c r="A209" s="1"/>
      <c r="B209" s="1"/>
      <c r="C209" s="1"/>
      <c r="D209" s="1"/>
      <c r="E209" s="1"/>
      <c r="F209" s="1"/>
      <c r="G209" s="127"/>
      <c r="H209" s="12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 x14ac:dyDescent="0.2">
      <c r="A210" s="1"/>
      <c r="B210" s="1"/>
      <c r="C210" s="1"/>
      <c r="D210" s="1"/>
      <c r="E210" s="1"/>
      <c r="F210" s="1"/>
      <c r="G210" s="127"/>
      <c r="H210" s="12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 x14ac:dyDescent="0.2">
      <c r="A211" s="1"/>
      <c r="B211" s="1"/>
      <c r="C211" s="1"/>
      <c r="D211" s="1"/>
      <c r="E211" s="1"/>
      <c r="F211" s="1"/>
      <c r="G211" s="127"/>
      <c r="H211" s="12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 x14ac:dyDescent="0.2">
      <c r="A212" s="1"/>
      <c r="B212" s="1"/>
      <c r="C212" s="1"/>
      <c r="D212" s="1"/>
      <c r="E212" s="1"/>
      <c r="F212" s="1"/>
      <c r="G212" s="127"/>
      <c r="H212" s="12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 x14ac:dyDescent="0.2">
      <c r="A213" s="1"/>
      <c r="B213" s="1"/>
      <c r="C213" s="1"/>
      <c r="D213" s="1"/>
      <c r="E213" s="1"/>
      <c r="F213" s="1"/>
      <c r="G213" s="127"/>
      <c r="H213" s="12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 x14ac:dyDescent="0.2">
      <c r="A214" s="1"/>
      <c r="B214" s="1"/>
      <c r="C214" s="1"/>
      <c r="D214" s="1"/>
      <c r="E214" s="1"/>
      <c r="F214" s="1"/>
      <c r="G214" s="127"/>
      <c r="H214" s="12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 x14ac:dyDescent="0.2">
      <c r="A215" s="1"/>
      <c r="B215" s="1"/>
      <c r="C215" s="1"/>
      <c r="D215" s="1"/>
      <c r="E215" s="1"/>
      <c r="F215" s="1"/>
      <c r="G215" s="127"/>
      <c r="H215" s="12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 x14ac:dyDescent="0.2">
      <c r="A216" s="1"/>
      <c r="B216" s="1"/>
      <c r="C216" s="1"/>
      <c r="D216" s="1"/>
      <c r="E216" s="1"/>
      <c r="F216" s="1"/>
      <c r="G216" s="127"/>
      <c r="H216" s="12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 x14ac:dyDescent="0.2">
      <c r="A217" s="1"/>
      <c r="B217" s="1"/>
      <c r="C217" s="1"/>
      <c r="D217" s="1"/>
      <c r="E217" s="1"/>
      <c r="F217" s="1"/>
      <c r="G217" s="127"/>
      <c r="H217" s="12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 x14ac:dyDescent="0.2">
      <c r="A218" s="1"/>
      <c r="B218" s="1"/>
      <c r="C218" s="1"/>
      <c r="D218" s="1"/>
      <c r="E218" s="1"/>
      <c r="F218" s="1"/>
      <c r="G218" s="127"/>
      <c r="H218" s="12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 x14ac:dyDescent="0.2">
      <c r="A219" s="1"/>
      <c r="B219" s="1"/>
      <c r="C219" s="1"/>
      <c r="D219" s="1"/>
      <c r="E219" s="1"/>
      <c r="F219" s="1"/>
      <c r="G219" s="127"/>
      <c r="H219" s="12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 x14ac:dyDescent="0.2">
      <c r="A220" s="1"/>
      <c r="B220" s="1"/>
      <c r="C220" s="1"/>
      <c r="D220" s="1"/>
      <c r="E220" s="1"/>
      <c r="F220" s="1"/>
      <c r="G220" s="127"/>
      <c r="H220" s="12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 x14ac:dyDescent="0.2">
      <c r="A221" s="1"/>
      <c r="B221" s="1"/>
      <c r="C221" s="1"/>
      <c r="D221" s="1"/>
      <c r="E221" s="1"/>
      <c r="F221" s="1"/>
      <c r="G221" s="127"/>
      <c r="H221" s="12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 x14ac:dyDescent="0.2">
      <c r="A222" s="1"/>
      <c r="B222" s="1"/>
      <c r="C222" s="1"/>
      <c r="D222" s="1"/>
      <c r="E222" s="1"/>
      <c r="F222" s="1"/>
      <c r="G222" s="127"/>
      <c r="H222" s="12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 x14ac:dyDescent="0.2">
      <c r="A223" s="1"/>
      <c r="B223" s="1"/>
      <c r="C223" s="1"/>
      <c r="D223" s="1"/>
      <c r="E223" s="1"/>
      <c r="F223" s="1"/>
      <c r="G223" s="127"/>
      <c r="H223" s="12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 x14ac:dyDescent="0.2">
      <c r="A224" s="1"/>
      <c r="B224" s="1"/>
      <c r="C224" s="1"/>
      <c r="D224" s="1"/>
      <c r="E224" s="1"/>
      <c r="F224" s="1"/>
      <c r="G224" s="127"/>
      <c r="H224" s="12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 x14ac:dyDescent="0.2">
      <c r="A225" s="1"/>
      <c r="B225" s="1"/>
      <c r="C225" s="1"/>
      <c r="D225" s="1"/>
      <c r="E225" s="1"/>
      <c r="F225" s="1"/>
      <c r="G225" s="127"/>
      <c r="H225" s="12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 x14ac:dyDescent="0.2">
      <c r="A226" s="1"/>
      <c r="B226" s="1"/>
      <c r="C226" s="1"/>
      <c r="D226" s="1"/>
      <c r="E226" s="1"/>
      <c r="F226" s="1"/>
      <c r="G226" s="127"/>
      <c r="H226" s="12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 x14ac:dyDescent="0.2">
      <c r="A227" s="1"/>
      <c r="B227" s="1"/>
      <c r="C227" s="1"/>
      <c r="D227" s="1"/>
      <c r="E227" s="1"/>
      <c r="F227" s="1"/>
      <c r="G227" s="127"/>
      <c r="H227" s="12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 x14ac:dyDescent="0.2">
      <c r="A228" s="1"/>
      <c r="B228" s="1"/>
      <c r="C228" s="1"/>
      <c r="D228" s="1"/>
      <c r="E228" s="1"/>
      <c r="F228" s="1"/>
      <c r="G228" s="127"/>
      <c r="H228" s="12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 x14ac:dyDescent="0.2">
      <c r="A229" s="1"/>
      <c r="B229" s="1"/>
      <c r="C229" s="1"/>
      <c r="D229" s="1"/>
      <c r="E229" s="1"/>
      <c r="F229" s="1"/>
      <c r="G229" s="127"/>
      <c r="H229" s="12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 x14ac:dyDescent="0.2">
      <c r="A230" s="1"/>
      <c r="B230" s="1"/>
      <c r="C230" s="1"/>
      <c r="D230" s="1"/>
      <c r="E230" s="1"/>
      <c r="F230" s="1"/>
      <c r="G230" s="127"/>
      <c r="H230" s="12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 x14ac:dyDescent="0.2">
      <c r="A231" s="1"/>
      <c r="B231" s="1"/>
      <c r="C231" s="1"/>
      <c r="D231" s="1"/>
      <c r="E231" s="1"/>
      <c r="F231" s="1"/>
      <c r="G231" s="127"/>
      <c r="H231" s="12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 x14ac:dyDescent="0.2">
      <c r="A232" s="1"/>
      <c r="B232" s="1"/>
      <c r="C232" s="1"/>
      <c r="D232" s="1"/>
      <c r="E232" s="1"/>
      <c r="F232" s="1"/>
      <c r="G232" s="127"/>
      <c r="H232" s="12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 x14ac:dyDescent="0.2">
      <c r="A233" s="1"/>
      <c r="B233" s="1"/>
      <c r="C233" s="1"/>
      <c r="D233" s="1"/>
      <c r="E233" s="1"/>
      <c r="F233" s="1"/>
      <c r="G233" s="127"/>
      <c r="H233" s="12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 x14ac:dyDescent="0.2">
      <c r="A234" s="1"/>
      <c r="B234" s="1"/>
      <c r="C234" s="1"/>
      <c r="D234" s="1"/>
      <c r="E234" s="1"/>
      <c r="F234" s="1"/>
      <c r="G234" s="127"/>
      <c r="H234" s="12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 x14ac:dyDescent="0.2">
      <c r="A235" s="1"/>
      <c r="B235" s="1"/>
      <c r="C235" s="1"/>
      <c r="D235" s="1"/>
      <c r="E235" s="1"/>
      <c r="F235" s="1"/>
      <c r="G235" s="127"/>
      <c r="H235" s="12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 x14ac:dyDescent="0.2">
      <c r="A236" s="1"/>
      <c r="B236" s="1"/>
      <c r="C236" s="1"/>
      <c r="D236" s="1"/>
      <c r="E236" s="1"/>
      <c r="F236" s="1"/>
      <c r="G236" s="127"/>
      <c r="H236" s="12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 x14ac:dyDescent="0.2">
      <c r="A237" s="1"/>
      <c r="B237" s="1"/>
      <c r="C237" s="1"/>
      <c r="D237" s="1"/>
      <c r="E237" s="1"/>
      <c r="F237" s="1"/>
      <c r="G237" s="127"/>
      <c r="H237" s="12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 x14ac:dyDescent="0.2">
      <c r="A238" s="1"/>
      <c r="B238" s="1"/>
      <c r="C238" s="1"/>
      <c r="D238" s="1"/>
      <c r="E238" s="1"/>
      <c r="F238" s="1"/>
      <c r="G238" s="127"/>
      <c r="H238" s="12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 x14ac:dyDescent="0.2">
      <c r="A239" s="1"/>
      <c r="B239" s="1"/>
      <c r="C239" s="1"/>
      <c r="D239" s="1"/>
      <c r="E239" s="1"/>
      <c r="F239" s="1"/>
      <c r="G239" s="127"/>
      <c r="H239" s="12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 x14ac:dyDescent="0.2">
      <c r="A240" s="1"/>
      <c r="B240" s="1"/>
      <c r="C240" s="1"/>
      <c r="D240" s="1"/>
      <c r="E240" s="1"/>
      <c r="F240" s="1"/>
      <c r="G240" s="127"/>
      <c r="H240" s="12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 x14ac:dyDescent="0.2">
      <c r="A241" s="1"/>
      <c r="B241" s="1"/>
      <c r="C241" s="1"/>
      <c r="D241" s="1"/>
      <c r="E241" s="1"/>
      <c r="F241" s="1"/>
      <c r="G241" s="127"/>
      <c r="H241" s="12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 x14ac:dyDescent="0.2">
      <c r="A242" s="1"/>
      <c r="B242" s="1"/>
      <c r="C242" s="1"/>
      <c r="D242" s="1"/>
      <c r="E242" s="1"/>
      <c r="F242" s="1"/>
      <c r="G242" s="127"/>
      <c r="H242" s="12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 x14ac:dyDescent="0.2">
      <c r="A243" s="1"/>
      <c r="B243" s="1"/>
      <c r="C243" s="1"/>
      <c r="D243" s="1"/>
      <c r="E243" s="1"/>
      <c r="F243" s="1"/>
      <c r="G243" s="127"/>
      <c r="H243" s="12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 x14ac:dyDescent="0.2">
      <c r="A244" s="1"/>
      <c r="B244" s="1"/>
      <c r="C244" s="1"/>
      <c r="D244" s="1"/>
      <c r="E244" s="1"/>
      <c r="F244" s="1"/>
      <c r="G244" s="127"/>
      <c r="H244" s="12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 x14ac:dyDescent="0.2">
      <c r="A245" s="1"/>
      <c r="B245" s="1"/>
      <c r="C245" s="1"/>
      <c r="D245" s="1"/>
      <c r="E245" s="1"/>
      <c r="F245" s="1"/>
      <c r="G245" s="127"/>
      <c r="H245" s="12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 x14ac:dyDescent="0.2">
      <c r="A246" s="1"/>
      <c r="B246" s="1"/>
      <c r="C246" s="1"/>
      <c r="D246" s="1"/>
      <c r="E246" s="1"/>
      <c r="F246" s="1"/>
      <c r="G246" s="127"/>
      <c r="H246" s="12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 x14ac:dyDescent="0.2">
      <c r="A247" s="1"/>
      <c r="B247" s="1"/>
      <c r="C247" s="1"/>
      <c r="D247" s="1"/>
      <c r="E247" s="1"/>
      <c r="F247" s="1"/>
      <c r="G247" s="127"/>
      <c r="H247" s="12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 x14ac:dyDescent="0.2">
      <c r="A248" s="1"/>
      <c r="B248" s="1"/>
      <c r="C248" s="1"/>
      <c r="D248" s="1"/>
      <c r="E248" s="1"/>
      <c r="F248" s="1"/>
      <c r="G248" s="127"/>
      <c r="H248" s="12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 x14ac:dyDescent="0.2">
      <c r="A249" s="1"/>
      <c r="B249" s="1"/>
      <c r="C249" s="1"/>
      <c r="D249" s="1"/>
      <c r="E249" s="1"/>
      <c r="F249" s="1"/>
      <c r="G249" s="127"/>
      <c r="H249" s="12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 x14ac:dyDescent="0.2">
      <c r="A250" s="1"/>
      <c r="B250" s="1"/>
      <c r="C250" s="1"/>
      <c r="D250" s="1"/>
      <c r="E250" s="1"/>
      <c r="F250" s="1"/>
      <c r="G250" s="127"/>
      <c r="H250" s="12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 x14ac:dyDescent="0.2">
      <c r="A251" s="1"/>
      <c r="B251" s="1"/>
      <c r="C251" s="1"/>
      <c r="D251" s="1"/>
      <c r="E251" s="1"/>
      <c r="F251" s="1"/>
      <c r="G251" s="127"/>
      <c r="H251" s="12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 x14ac:dyDescent="0.2">
      <c r="A252" s="1"/>
      <c r="B252" s="1"/>
      <c r="C252" s="1"/>
      <c r="D252" s="1"/>
      <c r="E252" s="1"/>
      <c r="F252" s="1"/>
      <c r="G252" s="127"/>
      <c r="H252" s="12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 x14ac:dyDescent="0.2">
      <c r="A253" s="1"/>
      <c r="B253" s="1"/>
      <c r="C253" s="1"/>
      <c r="D253" s="1"/>
      <c r="E253" s="1"/>
      <c r="F253" s="1"/>
      <c r="G253" s="127"/>
      <c r="H253" s="12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 x14ac:dyDescent="0.2">
      <c r="A254" s="1"/>
      <c r="B254" s="1"/>
      <c r="C254" s="1"/>
      <c r="D254" s="1"/>
      <c r="E254" s="1"/>
      <c r="F254" s="1"/>
      <c r="G254" s="127"/>
      <c r="H254" s="12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 x14ac:dyDescent="0.2">
      <c r="A255" s="1"/>
      <c r="B255" s="1"/>
      <c r="C255" s="1"/>
      <c r="D255" s="1"/>
      <c r="E255" s="1"/>
      <c r="F255" s="1"/>
      <c r="G255" s="127"/>
      <c r="H255" s="12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 x14ac:dyDescent="0.2">
      <c r="A256" s="1"/>
      <c r="B256" s="1"/>
      <c r="C256" s="1"/>
      <c r="D256" s="1"/>
      <c r="E256" s="1"/>
      <c r="F256" s="1"/>
      <c r="G256" s="127"/>
      <c r="H256" s="12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 x14ac:dyDescent="0.2">
      <c r="A257" s="1"/>
      <c r="B257" s="1"/>
      <c r="C257" s="1"/>
      <c r="D257" s="1"/>
      <c r="E257" s="1"/>
      <c r="F257" s="1"/>
      <c r="G257" s="127"/>
      <c r="H257" s="12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 x14ac:dyDescent="0.2">
      <c r="A258" s="1"/>
      <c r="B258" s="1"/>
      <c r="C258" s="1"/>
      <c r="D258" s="1"/>
      <c r="E258" s="1"/>
      <c r="F258" s="1"/>
      <c r="G258" s="127"/>
      <c r="H258" s="12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 x14ac:dyDescent="0.2">
      <c r="A259" s="1"/>
      <c r="B259" s="1"/>
      <c r="C259" s="1"/>
      <c r="D259" s="1"/>
      <c r="E259" s="1"/>
      <c r="F259" s="1"/>
      <c r="G259" s="127"/>
      <c r="H259" s="12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 x14ac:dyDescent="0.2">
      <c r="A260" s="1"/>
      <c r="B260" s="1"/>
      <c r="C260" s="1"/>
      <c r="D260" s="1"/>
      <c r="E260" s="1"/>
      <c r="F260" s="1"/>
      <c r="G260" s="127"/>
      <c r="H260" s="12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 x14ac:dyDescent="0.2">
      <c r="A261" s="1"/>
      <c r="B261" s="1"/>
      <c r="C261" s="1"/>
      <c r="D261" s="1"/>
      <c r="E261" s="1"/>
      <c r="F261" s="1"/>
      <c r="G261" s="127"/>
      <c r="H261" s="12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 x14ac:dyDescent="0.2">
      <c r="A262" s="1"/>
      <c r="B262" s="1"/>
      <c r="C262" s="1"/>
      <c r="D262" s="1"/>
      <c r="E262" s="1"/>
      <c r="F262" s="1"/>
      <c r="G262" s="127"/>
      <c r="H262" s="12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 x14ac:dyDescent="0.2">
      <c r="A263" s="1"/>
      <c r="B263" s="1"/>
      <c r="C263" s="1"/>
      <c r="D263" s="1"/>
      <c r="E263" s="1"/>
      <c r="F263" s="1"/>
      <c r="G263" s="127"/>
      <c r="H263" s="12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 x14ac:dyDescent="0.2">
      <c r="A264" s="1"/>
      <c r="B264" s="1"/>
      <c r="C264" s="1"/>
      <c r="D264" s="1"/>
      <c r="E264" s="1"/>
      <c r="F264" s="1"/>
      <c r="G264" s="127"/>
      <c r="H264" s="12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 x14ac:dyDescent="0.2">
      <c r="A265" s="1"/>
      <c r="B265" s="1"/>
      <c r="C265" s="1"/>
      <c r="D265" s="1"/>
      <c r="E265" s="1"/>
      <c r="F265" s="1"/>
      <c r="G265" s="127"/>
      <c r="H265" s="12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 x14ac:dyDescent="0.2">
      <c r="A266" s="1"/>
      <c r="B266" s="1"/>
      <c r="C266" s="1"/>
      <c r="D266" s="1"/>
      <c r="E266" s="1"/>
      <c r="F266" s="1"/>
      <c r="G266" s="127"/>
      <c r="H266" s="12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 x14ac:dyDescent="0.2">
      <c r="A267" s="1"/>
      <c r="B267" s="1"/>
      <c r="C267" s="1"/>
      <c r="D267" s="1"/>
      <c r="E267" s="1"/>
      <c r="F267" s="1"/>
      <c r="G267" s="127"/>
      <c r="H267" s="12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 x14ac:dyDescent="0.2">
      <c r="A268" s="1"/>
      <c r="B268" s="1"/>
      <c r="C268" s="1"/>
      <c r="D268" s="1"/>
      <c r="E268" s="1"/>
      <c r="F268" s="1"/>
      <c r="G268" s="127"/>
      <c r="H268" s="12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 x14ac:dyDescent="0.2">
      <c r="A269" s="1"/>
      <c r="B269" s="1"/>
      <c r="C269" s="1"/>
      <c r="D269" s="1"/>
      <c r="E269" s="1"/>
      <c r="F269" s="1"/>
      <c r="G269" s="127"/>
      <c r="H269" s="12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2"/>
    <row r="271" spans="1:28" ht="15.75" customHeight="1" x14ac:dyDescent="0.2"/>
    <row r="272" spans="1:28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  <row r="1001" customFormat="1" ht="15.75" customHeight="1" x14ac:dyDescent="0.2"/>
    <row r="1002" customFormat="1" ht="15.75" customHeight="1" x14ac:dyDescent="0.2"/>
    <row r="1003" customFormat="1" ht="15.75" customHeight="1" x14ac:dyDescent="0.2"/>
    <row r="1004" customFormat="1" ht="15.75" customHeight="1" x14ac:dyDescent="0.2"/>
    <row r="1005" customFormat="1" ht="15.75" customHeight="1" x14ac:dyDescent="0.2"/>
    <row r="1006" customFormat="1" ht="15.75" customHeight="1" x14ac:dyDescent="0.2"/>
    <row r="1007" customFormat="1" ht="15.75" customHeight="1" x14ac:dyDescent="0.2"/>
    <row r="1008" customFormat="1" ht="15.75" customHeight="1" x14ac:dyDescent="0.2"/>
  </sheetData>
  <mergeCells count="21">
    <mergeCell ref="A66:B66"/>
    <mergeCell ref="C66:E66"/>
    <mergeCell ref="F66:H66"/>
    <mergeCell ref="B1:F2"/>
    <mergeCell ref="G1:H2"/>
    <mergeCell ref="G3:H3"/>
    <mergeCell ref="G4:H4"/>
    <mergeCell ref="G5:H5"/>
    <mergeCell ref="A6:H6"/>
    <mergeCell ref="A55:H55"/>
    <mergeCell ref="A65:H65"/>
    <mergeCell ref="B3:C3"/>
    <mergeCell ref="A69:B69"/>
    <mergeCell ref="C69:E69"/>
    <mergeCell ref="F69:H69"/>
    <mergeCell ref="A67:B67"/>
    <mergeCell ref="C67:E67"/>
    <mergeCell ref="F67:H67"/>
    <mergeCell ref="A68:B68"/>
    <mergeCell ref="C68:E68"/>
    <mergeCell ref="F68:H68"/>
  </mergeCells>
  <pageMargins left="0.25" right="0.25" top="0.75" bottom="0.75" header="0.3" footer="0.3"/>
  <pageSetup paperSize="9" scale="2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DD9C-A6DA-459C-BFB2-A12B61C8EB36}">
  <sheetPr>
    <pageSetUpPr fitToPage="1"/>
  </sheetPr>
  <dimension ref="A1:Z1002"/>
  <sheetViews>
    <sheetView showGridLines="0" tabSelected="1" zoomScale="85" zoomScaleNormal="85" workbookViewId="0">
      <selection activeCell="I10" sqref="I10"/>
    </sheetView>
  </sheetViews>
  <sheetFormatPr defaultColWidth="12.5703125" defaultRowHeight="15" customHeight="1" x14ac:dyDescent="0.2"/>
  <cols>
    <col min="1" max="1" width="5.42578125" customWidth="1"/>
    <col min="2" max="2" width="70.7109375" customWidth="1"/>
    <col min="3" max="3" width="19" customWidth="1"/>
    <col min="4" max="4" width="10.7109375" customWidth="1"/>
    <col min="5" max="13" width="20.7109375" customWidth="1"/>
  </cols>
  <sheetData>
    <row r="1" spans="1:26" ht="18.75" customHeight="1" thickBot="1" x14ac:dyDescent="0.25">
      <c r="A1" s="254" t="s">
        <v>67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4"/>
    </row>
    <row r="2" spans="1:26" ht="15.75" customHeight="1" x14ac:dyDescent="0.2">
      <c r="A2" s="255"/>
      <c r="B2" s="221"/>
      <c r="C2" s="256"/>
      <c r="D2" s="2" t="s">
        <v>68</v>
      </c>
      <c r="E2" s="3"/>
      <c r="F2" s="3"/>
      <c r="G2" s="4"/>
      <c r="H2" s="5" t="s">
        <v>69</v>
      </c>
      <c r="I2" s="6"/>
      <c r="J2" s="7"/>
      <c r="K2" s="7"/>
      <c r="L2" s="5" t="s">
        <v>70</v>
      </c>
      <c r="M2" s="8" t="str">
        <f>'[1]12-24 PROTOCOLO'!H9</f>
        <v>Unitário</v>
      </c>
    </row>
    <row r="3" spans="1:26" ht="15" customHeight="1" x14ac:dyDescent="0.2">
      <c r="A3" s="257"/>
      <c r="B3" s="224"/>
      <c r="C3" s="230"/>
      <c r="D3" s="9" t="s">
        <v>71</v>
      </c>
      <c r="E3" s="10"/>
      <c r="F3" s="11"/>
      <c r="G3" s="12"/>
      <c r="H3" s="13" t="s">
        <v>72</v>
      </c>
      <c r="I3" s="14"/>
      <c r="J3" s="15"/>
      <c r="K3" s="16"/>
      <c r="L3" s="15"/>
      <c r="M3" s="17"/>
    </row>
    <row r="4" spans="1:26" ht="13.5" customHeight="1" thickBot="1" x14ac:dyDescent="0.25">
      <c r="A4" s="258"/>
      <c r="B4" s="210"/>
      <c r="C4" s="208"/>
      <c r="D4" s="9" t="s">
        <v>73</v>
      </c>
      <c r="E4" s="18">
        <f>'[1]12-24 PROTOCOLO'!B11</f>
        <v>45533</v>
      </c>
      <c r="F4" s="19"/>
      <c r="G4" s="20"/>
      <c r="H4" s="21"/>
      <c r="I4" s="22"/>
      <c r="J4" s="23"/>
      <c r="K4" s="24"/>
      <c r="L4" s="25"/>
      <c r="M4" s="26"/>
    </row>
    <row r="5" spans="1:26" ht="12.75" customHeight="1" x14ac:dyDescent="0.2">
      <c r="A5" s="259" t="s">
        <v>74</v>
      </c>
      <c r="B5" s="260" t="s">
        <v>75</v>
      </c>
      <c r="C5" s="256"/>
      <c r="D5" s="261" t="s">
        <v>76</v>
      </c>
      <c r="E5" s="28" t="s">
        <v>77</v>
      </c>
      <c r="F5" s="29" t="s">
        <v>78</v>
      </c>
      <c r="G5" s="30" t="s">
        <v>79</v>
      </c>
      <c r="H5" s="262" t="s">
        <v>80</v>
      </c>
      <c r="I5" s="263"/>
      <c r="J5" s="264"/>
      <c r="K5" s="262" t="s">
        <v>81</v>
      </c>
      <c r="L5" s="263"/>
      <c r="M5" s="264"/>
    </row>
    <row r="6" spans="1:26" ht="13.5" customHeight="1" thickBot="1" x14ac:dyDescent="0.25">
      <c r="A6" s="258"/>
      <c r="B6" s="258"/>
      <c r="C6" s="208"/>
      <c r="D6" s="210"/>
      <c r="E6" s="31"/>
      <c r="F6" s="32" t="s">
        <v>82</v>
      </c>
      <c r="G6" s="33" t="s">
        <v>82</v>
      </c>
      <c r="H6" s="34" t="s">
        <v>83</v>
      </c>
      <c r="I6" s="35" t="s">
        <v>84</v>
      </c>
      <c r="J6" s="36" t="s">
        <v>85</v>
      </c>
      <c r="K6" s="37" t="s">
        <v>83</v>
      </c>
      <c r="L6" s="38" t="s">
        <v>84</v>
      </c>
      <c r="M6" s="39" t="s">
        <v>85</v>
      </c>
    </row>
    <row r="7" spans="1:26" ht="12.75" customHeight="1" x14ac:dyDescent="0.2">
      <c r="A7" s="40">
        <v>20</v>
      </c>
      <c r="B7" s="265" t="s">
        <v>86</v>
      </c>
      <c r="C7" s="252"/>
      <c r="D7" s="41" t="s">
        <v>87</v>
      </c>
      <c r="E7" s="42">
        <f>'[1]12-24 PROTOCOLO'!H18</f>
        <v>1864800</v>
      </c>
      <c r="F7" s="42">
        <v>1</v>
      </c>
      <c r="G7" s="43">
        <f>+ROUND(E7*F7,2)</f>
        <v>1864800</v>
      </c>
      <c r="H7" s="44">
        <f>J7-I7</f>
        <v>1723550.2100000002</v>
      </c>
      <c r="I7" s="45">
        <f>'[1]02-26 PROTOCOLO'!H44</f>
        <v>114691.46</v>
      </c>
      <c r="J7" s="46">
        <f>'[1]02-26 PROTOCOLO'!H28</f>
        <v>1838241.6700000002</v>
      </c>
      <c r="K7" s="47">
        <f>H7*F7</f>
        <v>1723550.2100000002</v>
      </c>
      <c r="L7" s="48">
        <f>F7*I7</f>
        <v>114691.46</v>
      </c>
      <c r="M7" s="49">
        <f>L7+K7</f>
        <v>1838241.6700000002</v>
      </c>
    </row>
    <row r="8" spans="1:26" ht="12.75" customHeight="1" x14ac:dyDescent="0.2">
      <c r="A8" s="40"/>
      <c r="B8" s="265"/>
      <c r="C8" s="252"/>
      <c r="D8" s="41"/>
      <c r="E8" s="42"/>
      <c r="F8" s="42"/>
      <c r="G8" s="43"/>
      <c r="H8" s="44"/>
      <c r="I8" s="45"/>
      <c r="J8" s="50"/>
      <c r="K8" s="47"/>
      <c r="L8" s="48">
        <f>F8*I8</f>
        <v>0</v>
      </c>
      <c r="M8" s="49"/>
    </row>
    <row r="9" spans="1:26" ht="12.75" customHeight="1" x14ac:dyDescent="0.2">
      <c r="A9" s="40"/>
      <c r="B9" s="265"/>
      <c r="C9" s="252"/>
      <c r="D9" s="41"/>
      <c r="E9" s="51"/>
      <c r="F9" s="42"/>
      <c r="G9" s="43">
        <f t="shared" ref="G9" si="0">+ROUND(E9*F9,2)</f>
        <v>0</v>
      </c>
      <c r="H9" s="52"/>
      <c r="I9" s="52"/>
      <c r="J9" s="50">
        <f t="shared" ref="J9:J28" si="1">+I9+H9</f>
        <v>0</v>
      </c>
      <c r="K9" s="47">
        <f t="shared" ref="K9:K28" si="2">H9*F9</f>
        <v>0</v>
      </c>
      <c r="L9" s="48">
        <f t="shared" ref="L9:L28" si="3">F9*I9</f>
        <v>0</v>
      </c>
      <c r="M9" s="49">
        <f t="shared" ref="M9:M28" si="4">L9+K9</f>
        <v>0</v>
      </c>
    </row>
    <row r="10" spans="1:26" ht="12.75" customHeight="1" x14ac:dyDescent="0.2">
      <c r="A10" s="53"/>
      <c r="B10" s="266"/>
      <c r="C10" s="252"/>
      <c r="D10" s="54"/>
      <c r="E10" s="55"/>
      <c r="F10" s="56"/>
      <c r="G10" s="57">
        <f>+ROUND(E10*F10,2)</f>
        <v>0</v>
      </c>
      <c r="H10" s="55"/>
      <c r="I10" s="55"/>
      <c r="J10" s="58">
        <f t="shared" si="1"/>
        <v>0</v>
      </c>
      <c r="K10" s="59">
        <f t="shared" si="2"/>
        <v>0</v>
      </c>
      <c r="L10" s="60">
        <f t="shared" si="3"/>
        <v>0</v>
      </c>
      <c r="M10" s="61">
        <f t="shared" si="4"/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40"/>
      <c r="B11" s="265"/>
      <c r="C11" s="252"/>
      <c r="D11" s="41"/>
      <c r="E11" s="42"/>
      <c r="F11" s="42"/>
      <c r="G11" s="43">
        <f t="shared" ref="G11:G28" si="5">+ROUND(E11*F11,2)</f>
        <v>0</v>
      </c>
      <c r="H11" s="44"/>
      <c r="I11" s="52"/>
      <c r="J11" s="50">
        <f t="shared" si="1"/>
        <v>0</v>
      </c>
      <c r="K11" s="47">
        <f t="shared" si="2"/>
        <v>0</v>
      </c>
      <c r="L11" s="48">
        <f t="shared" si="3"/>
        <v>0</v>
      </c>
      <c r="M11" s="49">
        <f t="shared" si="4"/>
        <v>0</v>
      </c>
    </row>
    <row r="12" spans="1:26" ht="12.75" customHeight="1" x14ac:dyDescent="0.2">
      <c r="A12" s="40"/>
      <c r="B12" s="251"/>
      <c r="C12" s="252"/>
      <c r="D12" s="62"/>
      <c r="E12" s="51"/>
      <c r="F12" s="51"/>
      <c r="G12" s="43">
        <f t="shared" si="5"/>
        <v>0</v>
      </c>
      <c r="H12" s="63"/>
      <c r="I12" s="52"/>
      <c r="J12" s="50">
        <f t="shared" si="1"/>
        <v>0</v>
      </c>
      <c r="K12" s="47">
        <f t="shared" si="2"/>
        <v>0</v>
      </c>
      <c r="L12" s="48">
        <f t="shared" si="3"/>
        <v>0</v>
      </c>
      <c r="M12" s="49">
        <f t="shared" si="4"/>
        <v>0</v>
      </c>
    </row>
    <row r="13" spans="1:26" ht="12.75" customHeight="1" x14ac:dyDescent="0.2">
      <c r="A13" s="40"/>
      <c r="B13" s="251"/>
      <c r="C13" s="252"/>
      <c r="D13" s="41"/>
      <c r="E13" s="42"/>
      <c r="F13" s="42"/>
      <c r="G13" s="43">
        <f t="shared" si="5"/>
        <v>0</v>
      </c>
      <c r="H13" s="44"/>
      <c r="I13" s="45"/>
      <c r="J13" s="50">
        <f t="shared" si="1"/>
        <v>0</v>
      </c>
      <c r="K13" s="47">
        <f t="shared" si="2"/>
        <v>0</v>
      </c>
      <c r="L13" s="48">
        <f t="shared" si="3"/>
        <v>0</v>
      </c>
      <c r="M13" s="49">
        <f t="shared" si="4"/>
        <v>0</v>
      </c>
    </row>
    <row r="14" spans="1:26" ht="12.75" customHeight="1" x14ac:dyDescent="0.2">
      <c r="A14" s="40"/>
      <c r="B14" s="251"/>
      <c r="C14" s="252"/>
      <c r="D14" s="62"/>
      <c r="E14" s="51"/>
      <c r="F14" s="51"/>
      <c r="G14" s="43">
        <f t="shared" si="5"/>
        <v>0</v>
      </c>
      <c r="H14" s="63"/>
      <c r="I14" s="52"/>
      <c r="J14" s="50">
        <f t="shared" si="1"/>
        <v>0</v>
      </c>
      <c r="K14" s="47">
        <f t="shared" si="2"/>
        <v>0</v>
      </c>
      <c r="L14" s="48">
        <f t="shared" si="3"/>
        <v>0</v>
      </c>
      <c r="M14" s="49">
        <f t="shared" si="4"/>
        <v>0</v>
      </c>
    </row>
    <row r="15" spans="1:26" ht="12.75" customHeight="1" x14ac:dyDescent="0.2">
      <c r="A15" s="40"/>
      <c r="B15" s="251"/>
      <c r="C15" s="252"/>
      <c r="D15" s="41"/>
      <c r="E15" s="42"/>
      <c r="F15" s="42"/>
      <c r="G15" s="43">
        <f t="shared" si="5"/>
        <v>0</v>
      </c>
      <c r="H15" s="44"/>
      <c r="I15" s="45"/>
      <c r="J15" s="50">
        <f t="shared" si="1"/>
        <v>0</v>
      </c>
      <c r="K15" s="47">
        <f t="shared" si="2"/>
        <v>0</v>
      </c>
      <c r="L15" s="48">
        <f t="shared" si="3"/>
        <v>0</v>
      </c>
      <c r="M15" s="49">
        <f t="shared" si="4"/>
        <v>0</v>
      </c>
    </row>
    <row r="16" spans="1:26" ht="12.75" customHeight="1" x14ac:dyDescent="0.2">
      <c r="A16" s="40"/>
      <c r="B16" s="251"/>
      <c r="C16" s="252"/>
      <c r="D16" s="62"/>
      <c r="E16" s="51"/>
      <c r="F16" s="51"/>
      <c r="G16" s="43">
        <f t="shared" si="5"/>
        <v>0</v>
      </c>
      <c r="H16" s="63"/>
      <c r="I16" s="52"/>
      <c r="J16" s="50">
        <f t="shared" si="1"/>
        <v>0</v>
      </c>
      <c r="K16" s="47">
        <f t="shared" si="2"/>
        <v>0</v>
      </c>
      <c r="L16" s="48">
        <f t="shared" si="3"/>
        <v>0</v>
      </c>
      <c r="M16" s="49">
        <f t="shared" si="4"/>
        <v>0</v>
      </c>
    </row>
    <row r="17" spans="1:13" ht="12.75" customHeight="1" x14ac:dyDescent="0.2">
      <c r="A17" s="40"/>
      <c r="B17" s="251"/>
      <c r="C17" s="252"/>
      <c r="D17" s="41"/>
      <c r="E17" s="42"/>
      <c r="F17" s="42"/>
      <c r="G17" s="43">
        <f t="shared" si="5"/>
        <v>0</v>
      </c>
      <c r="H17" s="44"/>
      <c r="I17" s="45"/>
      <c r="J17" s="50">
        <f t="shared" si="1"/>
        <v>0</v>
      </c>
      <c r="K17" s="47">
        <f t="shared" si="2"/>
        <v>0</v>
      </c>
      <c r="L17" s="48">
        <f t="shared" si="3"/>
        <v>0</v>
      </c>
      <c r="M17" s="49">
        <f t="shared" si="4"/>
        <v>0</v>
      </c>
    </row>
    <row r="18" spans="1:13" ht="12.75" customHeight="1" x14ac:dyDescent="0.2">
      <c r="A18" s="40"/>
      <c r="B18" s="251"/>
      <c r="C18" s="252"/>
      <c r="D18" s="62"/>
      <c r="E18" s="51"/>
      <c r="F18" s="51"/>
      <c r="G18" s="43">
        <f t="shared" si="5"/>
        <v>0</v>
      </c>
      <c r="H18" s="63"/>
      <c r="I18" s="52"/>
      <c r="J18" s="50">
        <f t="shared" si="1"/>
        <v>0</v>
      </c>
      <c r="K18" s="47">
        <f t="shared" si="2"/>
        <v>0</v>
      </c>
      <c r="L18" s="48">
        <f t="shared" si="3"/>
        <v>0</v>
      </c>
      <c r="M18" s="49">
        <f t="shared" si="4"/>
        <v>0</v>
      </c>
    </row>
    <row r="19" spans="1:13" ht="12.75" customHeight="1" x14ac:dyDescent="0.2">
      <c r="A19" s="40"/>
      <c r="B19" s="251"/>
      <c r="C19" s="252"/>
      <c r="D19" s="41"/>
      <c r="E19" s="42"/>
      <c r="F19" s="42"/>
      <c r="G19" s="43">
        <f t="shared" si="5"/>
        <v>0</v>
      </c>
      <c r="H19" s="44"/>
      <c r="I19" s="45"/>
      <c r="J19" s="50">
        <f t="shared" si="1"/>
        <v>0</v>
      </c>
      <c r="K19" s="47">
        <f t="shared" si="2"/>
        <v>0</v>
      </c>
      <c r="L19" s="48">
        <f t="shared" si="3"/>
        <v>0</v>
      </c>
      <c r="M19" s="49">
        <f t="shared" si="4"/>
        <v>0</v>
      </c>
    </row>
    <row r="20" spans="1:13" ht="12.75" customHeight="1" x14ac:dyDescent="0.2">
      <c r="A20" s="40"/>
      <c r="B20" s="251"/>
      <c r="C20" s="252"/>
      <c r="D20" s="62"/>
      <c r="E20" s="51"/>
      <c r="F20" s="51"/>
      <c r="G20" s="43">
        <f t="shared" si="5"/>
        <v>0</v>
      </c>
      <c r="H20" s="63"/>
      <c r="I20" s="52"/>
      <c r="J20" s="50">
        <f t="shared" si="1"/>
        <v>0</v>
      </c>
      <c r="K20" s="47">
        <f t="shared" si="2"/>
        <v>0</v>
      </c>
      <c r="L20" s="48">
        <f t="shared" si="3"/>
        <v>0</v>
      </c>
      <c r="M20" s="49">
        <f t="shared" si="4"/>
        <v>0</v>
      </c>
    </row>
    <row r="21" spans="1:13" ht="12.75" customHeight="1" x14ac:dyDescent="0.2">
      <c r="A21" s="40"/>
      <c r="B21" s="251"/>
      <c r="C21" s="252"/>
      <c r="D21" s="41"/>
      <c r="E21" s="42"/>
      <c r="F21" s="42"/>
      <c r="G21" s="43">
        <f t="shared" si="5"/>
        <v>0</v>
      </c>
      <c r="H21" s="44"/>
      <c r="I21" s="45"/>
      <c r="J21" s="50">
        <f t="shared" si="1"/>
        <v>0</v>
      </c>
      <c r="K21" s="47">
        <f t="shared" si="2"/>
        <v>0</v>
      </c>
      <c r="L21" s="48">
        <f t="shared" si="3"/>
        <v>0</v>
      </c>
      <c r="M21" s="49">
        <f t="shared" si="4"/>
        <v>0</v>
      </c>
    </row>
    <row r="22" spans="1:13" ht="12.75" customHeight="1" x14ac:dyDescent="0.2">
      <c r="A22" s="40"/>
      <c r="B22" s="251"/>
      <c r="C22" s="252"/>
      <c r="D22" s="62"/>
      <c r="E22" s="51"/>
      <c r="F22" s="51"/>
      <c r="G22" s="43">
        <f t="shared" si="5"/>
        <v>0</v>
      </c>
      <c r="H22" s="63"/>
      <c r="I22" s="52"/>
      <c r="J22" s="50">
        <f t="shared" si="1"/>
        <v>0</v>
      </c>
      <c r="K22" s="47">
        <f t="shared" si="2"/>
        <v>0</v>
      </c>
      <c r="L22" s="48">
        <f t="shared" si="3"/>
        <v>0</v>
      </c>
      <c r="M22" s="49">
        <f t="shared" si="4"/>
        <v>0</v>
      </c>
    </row>
    <row r="23" spans="1:13" ht="12.75" customHeight="1" x14ac:dyDescent="0.2">
      <c r="A23" s="40"/>
      <c r="B23" s="251"/>
      <c r="C23" s="252"/>
      <c r="D23" s="41"/>
      <c r="E23" s="42"/>
      <c r="F23" s="42"/>
      <c r="G23" s="43">
        <f t="shared" si="5"/>
        <v>0</v>
      </c>
      <c r="H23" s="44"/>
      <c r="I23" s="45"/>
      <c r="J23" s="50">
        <f t="shared" si="1"/>
        <v>0</v>
      </c>
      <c r="K23" s="47">
        <f t="shared" si="2"/>
        <v>0</v>
      </c>
      <c r="L23" s="48">
        <f t="shared" si="3"/>
        <v>0</v>
      </c>
      <c r="M23" s="49">
        <f t="shared" si="4"/>
        <v>0</v>
      </c>
    </row>
    <row r="24" spans="1:13" ht="12.75" customHeight="1" x14ac:dyDescent="0.2">
      <c r="A24" s="40"/>
      <c r="B24" s="251"/>
      <c r="C24" s="252"/>
      <c r="D24" s="62"/>
      <c r="E24" s="51"/>
      <c r="F24" s="51"/>
      <c r="G24" s="43">
        <f t="shared" si="5"/>
        <v>0</v>
      </c>
      <c r="H24" s="63"/>
      <c r="I24" s="52"/>
      <c r="J24" s="50">
        <f t="shared" si="1"/>
        <v>0</v>
      </c>
      <c r="K24" s="47">
        <f t="shared" si="2"/>
        <v>0</v>
      </c>
      <c r="L24" s="48">
        <f t="shared" si="3"/>
        <v>0</v>
      </c>
      <c r="M24" s="49">
        <f t="shared" si="4"/>
        <v>0</v>
      </c>
    </row>
    <row r="25" spans="1:13" ht="12.75" customHeight="1" x14ac:dyDescent="0.2">
      <c r="A25" s="40"/>
      <c r="B25" s="251"/>
      <c r="C25" s="252"/>
      <c r="D25" s="41"/>
      <c r="E25" s="42"/>
      <c r="F25" s="42"/>
      <c r="G25" s="43">
        <f t="shared" si="5"/>
        <v>0</v>
      </c>
      <c r="H25" s="44"/>
      <c r="I25" s="45"/>
      <c r="J25" s="50">
        <f t="shared" si="1"/>
        <v>0</v>
      </c>
      <c r="K25" s="47">
        <f t="shared" si="2"/>
        <v>0</v>
      </c>
      <c r="L25" s="48">
        <f t="shared" si="3"/>
        <v>0</v>
      </c>
      <c r="M25" s="49">
        <f t="shared" si="4"/>
        <v>0</v>
      </c>
    </row>
    <row r="26" spans="1:13" ht="12.75" customHeight="1" x14ac:dyDescent="0.2">
      <c r="A26" s="40"/>
      <c r="B26" s="251"/>
      <c r="C26" s="252"/>
      <c r="D26" s="62"/>
      <c r="E26" s="51"/>
      <c r="F26" s="51"/>
      <c r="G26" s="43">
        <f t="shared" si="5"/>
        <v>0</v>
      </c>
      <c r="H26" s="63"/>
      <c r="I26" s="52"/>
      <c r="J26" s="50">
        <f t="shared" si="1"/>
        <v>0</v>
      </c>
      <c r="K26" s="47">
        <f t="shared" si="2"/>
        <v>0</v>
      </c>
      <c r="L26" s="48">
        <f t="shared" si="3"/>
        <v>0</v>
      </c>
      <c r="M26" s="49">
        <f t="shared" si="4"/>
        <v>0</v>
      </c>
    </row>
    <row r="27" spans="1:13" ht="12.75" customHeight="1" x14ac:dyDescent="0.2">
      <c r="A27" s="40"/>
      <c r="B27" s="251"/>
      <c r="C27" s="252"/>
      <c r="D27" s="41"/>
      <c r="E27" s="42"/>
      <c r="F27" s="42"/>
      <c r="G27" s="43">
        <f t="shared" si="5"/>
        <v>0</v>
      </c>
      <c r="H27" s="44"/>
      <c r="I27" s="45"/>
      <c r="J27" s="50">
        <f t="shared" si="1"/>
        <v>0</v>
      </c>
      <c r="K27" s="47">
        <f t="shared" si="2"/>
        <v>0</v>
      </c>
      <c r="L27" s="48">
        <f t="shared" si="3"/>
        <v>0</v>
      </c>
      <c r="M27" s="49">
        <f t="shared" si="4"/>
        <v>0</v>
      </c>
    </row>
    <row r="28" spans="1:13" ht="12.75" customHeight="1" x14ac:dyDescent="0.2">
      <c r="A28" s="40"/>
      <c r="B28" s="251"/>
      <c r="C28" s="252"/>
      <c r="D28" s="62"/>
      <c r="E28" s="51"/>
      <c r="F28" s="51"/>
      <c r="G28" s="43">
        <f t="shared" si="5"/>
        <v>0</v>
      </c>
      <c r="H28" s="63"/>
      <c r="I28" s="52"/>
      <c r="J28" s="50">
        <f t="shared" si="1"/>
        <v>0</v>
      </c>
      <c r="K28" s="47">
        <f t="shared" si="2"/>
        <v>0</v>
      </c>
      <c r="L28" s="48">
        <f t="shared" si="3"/>
        <v>0</v>
      </c>
      <c r="M28" s="49">
        <f t="shared" si="4"/>
        <v>0</v>
      </c>
    </row>
    <row r="29" spans="1:13" ht="16.5" customHeight="1" thickBot="1" x14ac:dyDescent="0.25">
      <c r="A29" s="64"/>
      <c r="B29" s="253" t="s">
        <v>88</v>
      </c>
      <c r="C29" s="240"/>
      <c r="D29" s="65"/>
      <c r="E29" s="66"/>
      <c r="F29" s="67"/>
      <c r="G29" s="68">
        <f>SUM($G$7:$G$28)</f>
        <v>1864800</v>
      </c>
      <c r="H29" s="64"/>
      <c r="I29" s="66"/>
      <c r="J29" s="69"/>
      <c r="K29" s="70">
        <f>SUM(K7:K28)</f>
        <v>1723550.2100000002</v>
      </c>
      <c r="L29" s="71">
        <f>SUM(L7:L28)</f>
        <v>114691.46</v>
      </c>
      <c r="M29" s="72">
        <f>K29+L29</f>
        <v>1838241.6700000002</v>
      </c>
    </row>
    <row r="30" spans="1:13" ht="16.5" customHeight="1" thickBot="1" x14ac:dyDescent="0.3">
      <c r="A30" s="73"/>
      <c r="B30" s="74"/>
      <c r="C30" s="75"/>
      <c r="D30" s="76"/>
      <c r="E30" s="77"/>
      <c r="F30" s="77"/>
      <c r="G30" s="78"/>
      <c r="H30" s="79"/>
      <c r="I30" s="79"/>
      <c r="J30" s="79"/>
      <c r="K30" s="79"/>
      <c r="L30" s="80"/>
      <c r="M30" s="81"/>
    </row>
    <row r="31" spans="1:13" ht="12.75" customHeight="1" x14ac:dyDescent="0.2">
      <c r="A31" s="82"/>
      <c r="B31" s="83" t="s">
        <v>89</v>
      </c>
      <c r="C31" s="84"/>
      <c r="D31" s="84"/>
      <c r="E31" s="84"/>
      <c r="F31" s="84"/>
      <c r="G31" s="84"/>
      <c r="H31" s="84"/>
      <c r="I31" s="84"/>
      <c r="J31" s="85"/>
      <c r="K31" s="86">
        <f t="shared" ref="K31:L31" si="6">K29</f>
        <v>1723550.2100000002</v>
      </c>
      <c r="L31" s="87">
        <f t="shared" si="6"/>
        <v>114691.46</v>
      </c>
      <c r="M31" s="88">
        <f>L31+K31</f>
        <v>1838241.6700000002</v>
      </c>
    </row>
    <row r="32" spans="1:13" ht="12.75" customHeight="1" x14ac:dyDescent="0.2">
      <c r="A32" s="89"/>
      <c r="B32" s="90" t="s">
        <v>90</v>
      </c>
      <c r="C32" s="91"/>
      <c r="D32" s="91"/>
      <c r="E32" s="91"/>
      <c r="F32" s="91"/>
      <c r="G32" s="91"/>
      <c r="H32" s="91"/>
      <c r="I32" s="91"/>
      <c r="J32" s="92"/>
      <c r="K32" s="93">
        <v>0</v>
      </c>
      <c r="L32" s="94">
        <v>0</v>
      </c>
      <c r="M32" s="95">
        <v>0</v>
      </c>
    </row>
    <row r="33" spans="1:13" ht="12.75" customHeight="1" x14ac:dyDescent="0.2">
      <c r="A33" s="96"/>
      <c r="B33" s="97" t="s">
        <v>91</v>
      </c>
      <c r="C33" s="98"/>
      <c r="D33" s="98"/>
      <c r="E33" s="98"/>
      <c r="F33" s="98"/>
      <c r="G33" s="98"/>
      <c r="H33" s="98"/>
      <c r="I33" s="98"/>
      <c r="J33" s="99"/>
      <c r="K33" s="93">
        <v>0</v>
      </c>
      <c r="L33" s="94">
        <v>0</v>
      </c>
      <c r="M33" s="95">
        <v>0</v>
      </c>
    </row>
    <row r="34" spans="1:13" ht="13.5" customHeight="1" thickBot="1" x14ac:dyDescent="0.25">
      <c r="A34" s="100"/>
      <c r="B34" s="101" t="s">
        <v>92</v>
      </c>
      <c r="C34" s="102"/>
      <c r="D34" s="102"/>
      <c r="E34" s="102"/>
      <c r="F34" s="102"/>
      <c r="G34" s="102"/>
      <c r="H34" s="102"/>
      <c r="I34" s="102"/>
      <c r="J34" s="103"/>
      <c r="K34" s="104">
        <f t="shared" ref="K34:L34" si="7">K31-K32+K33</f>
        <v>1723550.2100000002</v>
      </c>
      <c r="L34" s="105">
        <f t="shared" si="7"/>
        <v>114691.46</v>
      </c>
      <c r="M34" s="106">
        <f>M31+M32+M33</f>
        <v>1838241.6700000002</v>
      </c>
    </row>
    <row r="35" spans="1:13" ht="16.5" customHeight="1" thickBot="1" x14ac:dyDescent="0.3">
      <c r="A35" s="107"/>
      <c r="B35" s="74"/>
      <c r="C35" s="74"/>
      <c r="D35" s="74"/>
      <c r="E35" s="108"/>
      <c r="F35" s="108"/>
      <c r="G35" s="109"/>
      <c r="H35" s="110"/>
      <c r="I35" s="110"/>
      <c r="J35" s="110"/>
      <c r="K35" s="110"/>
      <c r="L35" s="111"/>
      <c r="M35" s="112"/>
    </row>
    <row r="36" spans="1:13" ht="15.75" customHeight="1" thickBot="1" x14ac:dyDescent="0.25">
      <c r="A36" s="113"/>
      <c r="B36" s="114" t="s">
        <v>61</v>
      </c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6"/>
    </row>
    <row r="37" spans="1:13" ht="40.5" customHeight="1" x14ac:dyDescent="0.2">
      <c r="A37" s="217" t="s">
        <v>62</v>
      </c>
      <c r="B37" s="246"/>
      <c r="C37" s="247" t="s">
        <v>62</v>
      </c>
      <c r="D37" s="219"/>
      <c r="E37" s="246"/>
      <c r="F37" s="245" t="s">
        <v>62</v>
      </c>
      <c r="G37" s="246"/>
      <c r="H37" s="247" t="s">
        <v>62</v>
      </c>
      <c r="I37" s="219"/>
      <c r="J37" s="246"/>
      <c r="K37" s="245" t="s">
        <v>62</v>
      </c>
      <c r="L37" s="219"/>
      <c r="M37" s="218"/>
    </row>
    <row r="38" spans="1:13" ht="122.25" customHeight="1" x14ac:dyDescent="0.2">
      <c r="A38" s="248"/>
      <c r="B38" s="236"/>
      <c r="C38" s="249"/>
      <c r="D38" s="213"/>
      <c r="E38" s="236"/>
      <c r="F38" s="249"/>
      <c r="G38" s="236"/>
      <c r="H38" s="249"/>
      <c r="I38" s="213"/>
      <c r="J38" s="236"/>
      <c r="K38" s="250"/>
      <c r="L38" s="213"/>
      <c r="M38" s="212"/>
    </row>
    <row r="39" spans="1:13" ht="30" customHeight="1" x14ac:dyDescent="0.2">
      <c r="A39" s="235" t="str">
        <f>'[1]12-24 PROTOCOLO'!B8</f>
        <v>4C DIGITAL</v>
      </c>
      <c r="B39" s="236"/>
      <c r="C39" s="237" t="s">
        <v>63</v>
      </c>
      <c r="D39" s="213"/>
      <c r="E39" s="236"/>
      <c r="F39" s="237" t="s">
        <v>63</v>
      </c>
      <c r="G39" s="236"/>
      <c r="H39" s="237" t="s">
        <v>63</v>
      </c>
      <c r="I39" s="213"/>
      <c r="J39" s="236"/>
      <c r="K39" s="238" t="s">
        <v>63</v>
      </c>
      <c r="L39" s="213"/>
      <c r="M39" s="212"/>
    </row>
    <row r="40" spans="1:13" ht="16.5" customHeight="1" thickBot="1" x14ac:dyDescent="0.25">
      <c r="A40" s="239" t="s">
        <v>93</v>
      </c>
      <c r="B40" s="240"/>
      <c r="C40" s="241" t="s">
        <v>64</v>
      </c>
      <c r="D40" s="242"/>
      <c r="E40" s="240"/>
      <c r="F40" s="241" t="s">
        <v>94</v>
      </c>
      <c r="G40" s="240"/>
      <c r="H40" s="241" t="s">
        <v>95</v>
      </c>
      <c r="I40" s="242"/>
      <c r="J40" s="240"/>
      <c r="K40" s="243" t="s">
        <v>66</v>
      </c>
      <c r="L40" s="242"/>
      <c r="M40" s="244"/>
    </row>
    <row r="41" spans="1:13" ht="12.75" customHeight="1" x14ac:dyDescent="0.2"/>
    <row r="42" spans="1:13" ht="12.75" customHeight="1" x14ac:dyDescent="0.2"/>
    <row r="43" spans="1:13" ht="12.75" customHeight="1" x14ac:dyDescent="0.2"/>
    <row r="44" spans="1:13" ht="12.75" customHeight="1" x14ac:dyDescent="0.2"/>
    <row r="45" spans="1:13" ht="12.75" customHeight="1" x14ac:dyDescent="0.2"/>
    <row r="46" spans="1:13" ht="12.75" customHeight="1" x14ac:dyDescent="0.2"/>
    <row r="47" spans="1:13" ht="12.75" customHeight="1" x14ac:dyDescent="0.2"/>
    <row r="48" spans="1:13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50">
    <mergeCell ref="B12:C12"/>
    <mergeCell ref="A1:M1"/>
    <mergeCell ref="A2:C4"/>
    <mergeCell ref="A5:A6"/>
    <mergeCell ref="B5:C6"/>
    <mergeCell ref="D5:D6"/>
    <mergeCell ref="H5:J5"/>
    <mergeCell ref="K5:M5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5:C25"/>
    <mergeCell ref="B26:C26"/>
    <mergeCell ref="B27:C27"/>
    <mergeCell ref="B28:C28"/>
    <mergeCell ref="B29:C29"/>
    <mergeCell ref="F37:G37"/>
    <mergeCell ref="H37:J37"/>
    <mergeCell ref="K37:M37"/>
    <mergeCell ref="A38:B38"/>
    <mergeCell ref="C38:E38"/>
    <mergeCell ref="F38:G38"/>
    <mergeCell ref="H38:J38"/>
    <mergeCell ref="K38:M38"/>
    <mergeCell ref="A37:B37"/>
    <mergeCell ref="C37:E37"/>
    <mergeCell ref="A40:B40"/>
    <mergeCell ref="C40:E40"/>
    <mergeCell ref="F40:G40"/>
    <mergeCell ref="H40:J40"/>
    <mergeCell ref="K40:M40"/>
    <mergeCell ref="A39:B39"/>
    <mergeCell ref="C39:E39"/>
    <mergeCell ref="F39:G39"/>
    <mergeCell ref="H39:J39"/>
    <mergeCell ref="K39:M39"/>
  </mergeCells>
  <pageMargins left="0.25" right="0.25" top="0.75" bottom="0.75" header="0.3" footer="0.3"/>
  <pageSetup paperSize="9" scale="49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PROTOCOLO</vt:lpstr>
      <vt:lpstr>BOLETIM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Morbach</dc:creator>
  <cp:lastModifiedBy>Victor Morbach</cp:lastModifiedBy>
  <dcterms:created xsi:type="dcterms:W3CDTF">2026-03-05T15:03:23Z</dcterms:created>
  <dcterms:modified xsi:type="dcterms:W3CDTF">2026-03-19T16:46:48Z</dcterms:modified>
</cp:coreProperties>
</file>